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ACER\Desktop\DATA Analyst Prep\Projects\Data Modelling\"/>
    </mc:Choice>
  </mc:AlternateContent>
  <xr:revisionPtr revIDLastSave="0" documentId="13_ncr:1_{1BDEDD53-9B78-4645-9B23-AF93CA38BC3B}" xr6:coauthVersionLast="47" xr6:coauthVersionMax="47" xr10:uidLastSave="{00000000-0000-0000-0000-000000000000}"/>
  <bookViews>
    <workbookView xWindow="-108" yWindow="-108" windowWidth="23256" windowHeight="13176" xr2:uid="{374F2E65-C95A-42C8-8F67-C45D475073DD}"/>
  </bookViews>
  <sheets>
    <sheet name="dim_campaign" sheetId="2" r:id="rId1"/>
    <sheet name="dim_customers" sheetId="3" r:id="rId2"/>
    <sheet name="dim_date" sheetId="4" r:id="rId3"/>
    <sheet name="dim_geo" sheetId="5" r:id="rId4"/>
    <sheet name="dim_order_flags" sheetId="6" r:id="rId5"/>
    <sheet name="dim_products" sheetId="7" r:id="rId6"/>
    <sheet name="facts_order_process" sheetId="8" r:id="rId7"/>
    <sheet name="facts_sales_target" sheetId="9" r:id="rId8"/>
    <sheet name="fact_campaign" sheetId="10" r:id="rId9"/>
    <sheet name="fact_inventory" sheetId="11" r:id="rId10"/>
    <sheet name="fact_promotion_coverage" sheetId="12" r:id="rId11"/>
    <sheet name="fact_sales" sheetId="13" r:id="rId12"/>
    <sheet name="security" sheetId="14" r:id="rId13"/>
    <sheet name="_measures" sheetId="15" r:id="rId14"/>
  </sheets>
  <definedNames>
    <definedName name="ExternalData_1" localSheetId="13">_measures!$A$1:$A$2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2" i="3" l="1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</calcChain>
</file>

<file path=xl/sharedStrings.xml><?xml version="1.0" encoding="utf-8"?>
<sst xmlns="http://schemas.openxmlformats.org/spreadsheetml/2006/main" count="1574" uniqueCount="794">
  <si>
    <t>campaign_key</t>
  </si>
  <si>
    <t>campaign_name</t>
  </si>
  <si>
    <t>channel</t>
  </si>
  <si>
    <t>start_date</t>
  </si>
  <si>
    <t>end_date</t>
  </si>
  <si>
    <t>budget</t>
  </si>
  <si>
    <t>Spring Launch</t>
  </si>
  <si>
    <t>Email</t>
  </si>
  <si>
    <t>Summer Sale</t>
  </si>
  <si>
    <t>Social</t>
  </si>
  <si>
    <t>Back to School</t>
  </si>
  <si>
    <t>Display</t>
  </si>
  <si>
    <t>Black Friday</t>
  </si>
  <si>
    <t>Paid Search</t>
  </si>
  <si>
    <t>New Year Clearance</t>
  </si>
  <si>
    <t>Spring Launch 2026</t>
  </si>
  <si>
    <t>customer_id</t>
  </si>
  <si>
    <t>customer_name</t>
  </si>
  <si>
    <t>segment</t>
  </si>
  <si>
    <t>accounts_manager</t>
  </si>
  <si>
    <t>payment_terms</t>
  </si>
  <si>
    <t>contact_name</t>
  </si>
  <si>
    <t>contact_email</t>
  </si>
  <si>
    <t>credit_limit</t>
  </si>
  <si>
    <t>phone_details</t>
  </si>
  <si>
    <t>street</t>
  </si>
  <si>
    <t>city_name</t>
  </si>
  <si>
    <t>region</t>
  </si>
  <si>
    <t>Meridian Group</t>
  </si>
  <si>
    <t>Mid-Market</t>
  </si>
  <si>
    <t>Sarah Lin</t>
  </si>
  <si>
    <t>Net 30</t>
  </si>
  <si>
    <t>Emma Adel</t>
  </si>
  <si>
    <t>emma.adel@example.com</t>
  </si>
  <si>
    <t>345 Main St</t>
  </si>
  <si>
    <t>Buenos Aires</t>
  </si>
  <si>
    <t>Latin America</t>
  </si>
  <si>
    <t>Vertex Distribution</t>
  </si>
  <si>
    <t>Enterprise</t>
  </si>
  <si>
    <t>Omar Khan</t>
  </si>
  <si>
    <t>Net 60</t>
  </si>
  <si>
    <t>Carlos Khan</t>
  </si>
  <si>
    <t>carlos.khan@example.com</t>
  </si>
  <si>
    <t>708 Hill St</t>
  </si>
  <si>
    <t>Cascade Industries</t>
  </si>
  <si>
    <t>Tom Reyes</t>
  </si>
  <si>
    <t>Sarah Reyes</t>
  </si>
  <si>
    <t>sarah.reyes@example.com</t>
  </si>
  <si>
    <t>872 Park St</t>
  </si>
  <si>
    <t>Berlin</t>
  </si>
  <si>
    <t>Europe</t>
  </si>
  <si>
    <t>Momentum Holdings</t>
  </si>
  <si>
    <t>Omar Brandt</t>
  </si>
  <si>
    <t>omar.brandt@example.com</t>
  </si>
  <si>
    <t>974 Market St</t>
  </si>
  <si>
    <t>Nova Retail</t>
  </si>
  <si>
    <t>Mei Chen</t>
  </si>
  <si>
    <t>Net 15</t>
  </si>
  <si>
    <t>Mei Sato</t>
  </si>
  <si>
    <t>mei.sato@example.com</t>
  </si>
  <si>
    <t>500 Oak St</t>
  </si>
  <si>
    <t>Sydney</t>
  </si>
  <si>
    <t>Asia Pacific</t>
  </si>
  <si>
    <t>Pinnacle Distribution</t>
  </si>
  <si>
    <t>SMB</t>
  </si>
  <si>
    <t>David Park</t>
  </si>
  <si>
    <t>Priya Park</t>
  </si>
  <si>
    <t>priya.park@example.com</t>
  </si>
  <si>
    <t>680 Bay St</t>
  </si>
  <si>
    <t>Vanguard Holdings</t>
  </si>
  <si>
    <t>Sofia Hassan</t>
  </si>
  <si>
    <t>sofia.hassan@example.com</t>
  </si>
  <si>
    <t>971 Oak St</t>
  </si>
  <si>
    <t>Toronto</t>
  </si>
  <si>
    <t>North America</t>
  </si>
  <si>
    <t>Atlas Industries</t>
  </si>
  <si>
    <t>Fatima Silva</t>
  </si>
  <si>
    <t>fatima.silva@example.com</t>
  </si>
  <si>
    <t>459 Main St</t>
  </si>
  <si>
    <t>Catalyst Industries</t>
  </si>
  <si>
    <t>Prepaid</t>
  </si>
  <si>
    <t>Mei Khan</t>
  </si>
  <si>
    <t>mei.khan@example.com</t>
  </si>
  <si>
    <t>817 Park St</t>
  </si>
  <si>
    <t>Singapore</t>
  </si>
  <si>
    <t>Cascade Commerce</t>
  </si>
  <si>
    <t>Aisha Wang</t>
  </si>
  <si>
    <t>aisha.wang@example.com</t>
  </si>
  <si>
    <t>287 Bay St</t>
  </si>
  <si>
    <t>Amsterdam</t>
  </si>
  <si>
    <t>Zenith Logistics</t>
  </si>
  <si>
    <t>Yuki Lopez</t>
  </si>
  <si>
    <t>yuki.lopez@example.com</t>
  </si>
  <si>
    <t>278 Park St</t>
  </si>
  <si>
    <t>Quantum Logistics</t>
  </si>
  <si>
    <t>david.park@example.com</t>
  </si>
  <si>
    <t>570 Main St</t>
  </si>
  <si>
    <t>Dubai</t>
  </si>
  <si>
    <t>Middle East</t>
  </si>
  <si>
    <t>Meridian Commerce</t>
  </si>
  <si>
    <t>Liam Silva</t>
  </si>
  <si>
    <t>liam.silva@example.com</t>
  </si>
  <si>
    <t>485 Bay St</t>
  </si>
  <si>
    <t>Zenith Distribution</t>
  </si>
  <si>
    <t>237 Main St</t>
  </si>
  <si>
    <t>Paris</t>
  </si>
  <si>
    <t>Catalyst Distribution</t>
  </si>
  <si>
    <t>Hans Lopez</t>
  </si>
  <si>
    <t>hans.lopez@example.com</t>
  </si>
  <si>
    <t>248 Market St</t>
  </si>
  <si>
    <t>Sao Paulo</t>
  </si>
  <si>
    <t>Keystone Distribution</t>
  </si>
  <si>
    <t>Mei Murphy</t>
  </si>
  <si>
    <t>mei.murphy@example.com</t>
  </si>
  <si>
    <t>501 Bay St</t>
  </si>
  <si>
    <t>Madrid</t>
  </si>
  <si>
    <t>Fusion Logistics</t>
  </si>
  <si>
    <t>Carlos Park</t>
  </si>
  <si>
    <t>carlos.park@example.com</t>
  </si>
  <si>
    <t>709 Oak St</t>
  </si>
  <si>
    <t>Tokyo</t>
  </si>
  <si>
    <t>Apex Commerce</t>
  </si>
  <si>
    <t>David Murphy</t>
  </si>
  <si>
    <t>david.murphy@example.com</t>
  </si>
  <si>
    <t>302 Oak St</t>
  </si>
  <si>
    <t>Mumbai</t>
  </si>
  <si>
    <t>Cascade Group</t>
  </si>
  <si>
    <t>Lena Weber</t>
  </si>
  <si>
    <t>lena.weber@example.com</t>
  </si>
  <si>
    <t>339 Park St</t>
  </si>
  <si>
    <t>Mexico City</t>
  </si>
  <si>
    <t>Summit Commerce</t>
  </si>
  <si>
    <t>Chen Weber</t>
  </si>
  <si>
    <t>chen.weber@example.com</t>
  </si>
  <si>
    <t>353 Hill St</t>
  </si>
  <si>
    <t>Riyadh</t>
  </si>
  <si>
    <t>Cascade Partners</t>
  </si>
  <si>
    <t>Yuki Brandt</t>
  </si>
  <si>
    <t>yuki.brandt@example.com</t>
  </si>
  <si>
    <t>324 Main St</t>
  </si>
  <si>
    <t>Meridian Retail</t>
  </si>
  <si>
    <t>Mei Weber</t>
  </si>
  <si>
    <t>mei.weber@example.com</t>
  </si>
  <si>
    <t>197 Oak St</t>
  </si>
  <si>
    <t>Keystone Logistics</t>
  </si>
  <si>
    <t>Liam Patel</t>
  </si>
  <si>
    <t>liam.patel@example.com</t>
  </si>
  <si>
    <t>284 Market St</t>
  </si>
  <si>
    <t>Cairo</t>
  </si>
  <si>
    <t>Vertex Logistics</t>
  </si>
  <si>
    <t>Carlos Murphy</t>
  </si>
  <si>
    <t>carlos.murphy@example.com</t>
  </si>
  <si>
    <t>779 Bay St</t>
  </si>
  <si>
    <t>Istanbul</t>
  </si>
  <si>
    <t>Pinnacle Trading</t>
  </si>
  <si>
    <t>Nora Ali</t>
  </si>
  <si>
    <t>nora.ali@example.com</t>
  </si>
  <si>
    <t>290 Main St</t>
  </si>
  <si>
    <t>Zenith Holdings</t>
  </si>
  <si>
    <t>304 Oak St</t>
  </si>
  <si>
    <t>Nova Partners</t>
  </si>
  <si>
    <t>Nora Ramos</t>
  </si>
  <si>
    <t>nora.ramos@example.com</t>
  </si>
  <si>
    <t>184 Park St</t>
  </si>
  <si>
    <t>New York</t>
  </si>
  <si>
    <t>Summit Partners</t>
  </si>
  <si>
    <t>Yuki Park</t>
  </si>
  <si>
    <t>yuki.park@example.com</t>
  </si>
  <si>
    <t>726 Bay St</t>
  </si>
  <si>
    <t>London</t>
  </si>
  <si>
    <t>Vertex Supply</t>
  </si>
  <si>
    <t>Aisha Silva</t>
  </si>
  <si>
    <t>aisha.silva@example.com</t>
  </si>
  <si>
    <t>281 Main St</t>
  </si>
  <si>
    <t>Chicago</t>
  </si>
  <si>
    <t>Pinnacle Commerce</t>
  </si>
  <si>
    <t>Mei Hassan</t>
  </si>
  <si>
    <t>mei.hassan@example.com</t>
  </si>
  <si>
    <t>567 Park St</t>
  </si>
  <si>
    <t>Apex Trading</t>
  </si>
  <si>
    <t>Yuki Ali</t>
  </si>
  <si>
    <t>yuki.ali@example.com</t>
  </si>
  <si>
    <t>654 Hill St</t>
  </si>
  <si>
    <t>Los Angeles</t>
  </si>
  <si>
    <t>Atlas Group</t>
  </si>
  <si>
    <t>Fatima Hassan</t>
  </si>
  <si>
    <t>fatima.hassan@example.com</t>
  </si>
  <si>
    <t>894 Main St</t>
  </si>
  <si>
    <t>Meridian Supply</t>
  </si>
  <si>
    <t>Chen Rossi</t>
  </si>
  <si>
    <t>chen.rossi@example.com</t>
  </si>
  <si>
    <t>292 Hill St</t>
  </si>
  <si>
    <t>Momentum Group</t>
  </si>
  <si>
    <t>David Nair</t>
  </si>
  <si>
    <t>david.nair@example.com</t>
  </si>
  <si>
    <t>452 Park St</t>
  </si>
  <si>
    <t>Evergreen Partners</t>
  </si>
  <si>
    <t>Yuki Nair</t>
  </si>
  <si>
    <t>yuki.nair@example.com</t>
  </si>
  <si>
    <t>989 Main St</t>
  </si>
  <si>
    <t>Vanguard Logistics</t>
  </si>
  <si>
    <t>Emma Schmidt</t>
  </si>
  <si>
    <t>emma.schmidt@example.com</t>
  </si>
  <si>
    <t>964 Hill St</t>
  </si>
  <si>
    <t>Keystone Commerce</t>
  </si>
  <si>
    <t>Carlos Lopez</t>
  </si>
  <si>
    <t>carlos.lopez@example.com</t>
  </si>
  <si>
    <t>842 Main St</t>
  </si>
  <si>
    <t>Summit Retail</t>
  </si>
  <si>
    <t>Omar Weber</t>
  </si>
  <si>
    <t>omar.weber@example.com</t>
  </si>
  <si>
    <t>504 Main St</t>
  </si>
  <si>
    <t>Zenith Group</t>
  </si>
  <si>
    <t>Lena Wang</t>
  </si>
  <si>
    <t>lena.wang@example.com</t>
  </si>
  <si>
    <t>645 Market St</t>
  </si>
  <si>
    <t>Beacon Group</t>
  </si>
  <si>
    <t>Raj Rossi</t>
  </si>
  <si>
    <t>raj.rossi@example.com</t>
  </si>
  <si>
    <t>156 Oak St</t>
  </si>
  <si>
    <t>Apex Holdings</t>
  </si>
  <si>
    <t>Fatima Wang</t>
  </si>
  <si>
    <t>fatima.wang@example.com</t>
  </si>
  <si>
    <t>972 Park St</t>
  </si>
  <si>
    <t>Fusion Group</t>
  </si>
  <si>
    <t>Nora Weber</t>
  </si>
  <si>
    <t>nora.weber@example.com</t>
  </si>
  <si>
    <t>255 Main St</t>
  </si>
  <si>
    <t>Catalyst Partners</t>
  </si>
  <si>
    <t>Sofia Reyes</t>
  </si>
  <si>
    <t>sofia.reyes@example.com</t>
  </si>
  <si>
    <t>783 Hill St</t>
  </si>
  <si>
    <t>Horizon Supply</t>
  </si>
  <si>
    <t>Sofia Ali</t>
  </si>
  <si>
    <t>sofia.ali@example.com</t>
  </si>
  <si>
    <t>611 Bay St</t>
  </si>
  <si>
    <t>Evergreen Supply</t>
  </si>
  <si>
    <t>Emma Khan</t>
  </si>
  <si>
    <t>emma.khan@example.com</t>
  </si>
  <si>
    <t>795 Bay St</t>
  </si>
  <si>
    <t>Meridian Partners</t>
  </si>
  <si>
    <t>Tom Nair</t>
  </si>
  <si>
    <t>tom.nair@example.com</t>
  </si>
  <si>
    <t>462 Hill St</t>
  </si>
  <si>
    <t>Fusion Distribution</t>
  </si>
  <si>
    <t>881 Bay St</t>
  </si>
  <si>
    <t>Orbit Holdings</t>
  </si>
  <si>
    <t>Yuki Wang</t>
  </si>
  <si>
    <t>yuki.wang@example.com</t>
  </si>
  <si>
    <t>313 Bay St</t>
  </si>
  <si>
    <t>Apex Group</t>
  </si>
  <si>
    <t>62 Bay St</t>
  </si>
  <si>
    <t>Evergreen Group</t>
  </si>
  <si>
    <t>Nora Hassan</t>
  </si>
  <si>
    <t>nora.hassan@example.com</t>
  </si>
  <si>
    <t>Evergreen Distribution</t>
  </si>
  <si>
    <t>Yuki Khan</t>
  </si>
  <si>
    <t>yuki.khan@example.com</t>
  </si>
  <si>
    <t>271 Market St</t>
  </si>
  <si>
    <t>Quantum Distribution</t>
  </si>
  <si>
    <t>Nora Brandt</t>
  </si>
  <si>
    <t>nora.brandt@example.com</t>
  </si>
  <si>
    <t>161 Oak St</t>
  </si>
  <si>
    <t>Summit Group</t>
  </si>
  <si>
    <t>omar.khan@example.com</t>
  </si>
  <si>
    <t>566 Main St</t>
  </si>
  <si>
    <t>Horizon Logistics</t>
  </si>
  <si>
    <t>Emma Silva</t>
  </si>
  <si>
    <t>emma.silva@example.com</t>
  </si>
  <si>
    <t>3 Hill St</t>
  </si>
  <si>
    <t>Pioneer Partners</t>
  </si>
  <si>
    <t>706 Bay St</t>
  </si>
  <si>
    <t>Atlas Holdings</t>
  </si>
  <si>
    <t>Chen Hassan</t>
  </si>
  <si>
    <t>chen.hassan@example.com</t>
  </si>
  <si>
    <t>299 Main St</t>
  </si>
  <si>
    <t>Keystone Partners</t>
  </si>
  <si>
    <t>Chen Brandt</t>
  </si>
  <si>
    <t>chen.brandt@example.com</t>
  </si>
  <si>
    <t>296 Market St</t>
  </si>
  <si>
    <t>Pioneer Holdings</t>
  </si>
  <si>
    <t>Carlos Nair</t>
  </si>
  <si>
    <t>carlos.nair@example.com</t>
  </si>
  <si>
    <t>720 Hill St</t>
  </si>
  <si>
    <t>Quantum Supply</t>
  </si>
  <si>
    <t>Nora Patel</t>
  </si>
  <si>
    <t>nora.patel@example.com</t>
  </si>
  <si>
    <t>704 Oak St</t>
  </si>
  <si>
    <t>Cascade Retail</t>
  </si>
  <si>
    <t>Sofia Adel</t>
  </si>
  <si>
    <t>sofia.adel@example.com</t>
  </si>
  <si>
    <t>807 Market St</t>
  </si>
  <si>
    <t>date</t>
  </si>
  <si>
    <t>year</t>
  </si>
  <si>
    <t>month</t>
  </si>
  <si>
    <t>city_key</t>
  </si>
  <si>
    <t>city</t>
  </si>
  <si>
    <t>flag_key</t>
  </si>
  <si>
    <t>channel_name</t>
  </si>
  <si>
    <t>status</t>
  </si>
  <si>
    <t>priority</t>
  </si>
  <si>
    <t>channel_code</t>
  </si>
  <si>
    <t>Online Store</t>
  </si>
  <si>
    <t>Shipped</t>
  </si>
  <si>
    <t>Standard</t>
  </si>
  <si>
    <t>Retail Partner</t>
  </si>
  <si>
    <t>Express</t>
  </si>
  <si>
    <t>Wholesale</t>
  </si>
  <si>
    <t>Delivered</t>
  </si>
  <si>
    <t>Onsite Store</t>
  </si>
  <si>
    <t>Processing</t>
  </si>
  <si>
    <t>product_key</t>
  </si>
  <si>
    <t>product_code</t>
  </si>
  <si>
    <t>product_name</t>
  </si>
  <si>
    <t>brand</t>
  </si>
  <si>
    <t>sub_category</t>
  </si>
  <si>
    <t>category</t>
  </si>
  <si>
    <t>unit_price</t>
  </si>
  <si>
    <t>primary_supplier</t>
  </si>
  <si>
    <t>ELE-001</t>
  </si>
  <si>
    <t>Laptops M001</t>
  </si>
  <si>
    <t>Acme</t>
  </si>
  <si>
    <t>Laptops</t>
  </si>
  <si>
    <t>Electronics</t>
  </si>
  <si>
    <t>Supplier A</t>
  </si>
  <si>
    <t>ELE-019</t>
  </si>
  <si>
    <t>Laptops M019</t>
  </si>
  <si>
    <t>Vanta</t>
  </si>
  <si>
    <t>Supplier D</t>
  </si>
  <si>
    <t>ELE-018</t>
  </si>
  <si>
    <t>Phones M018</t>
  </si>
  <si>
    <t>Hooli</t>
  </si>
  <si>
    <t>Phones</t>
  </si>
  <si>
    <t>Supplier C</t>
  </si>
  <si>
    <t>ELE-002</t>
  </si>
  <si>
    <t>Audio M002</t>
  </si>
  <si>
    <t>Globex</t>
  </si>
  <si>
    <t>Audio</t>
  </si>
  <si>
    <t>Supplier B</t>
  </si>
  <si>
    <t>APP-003</t>
  </si>
  <si>
    <t>Mens M003</t>
  </si>
  <si>
    <t>Initech</t>
  </si>
  <si>
    <t>Mens</t>
  </si>
  <si>
    <t>Apparel</t>
  </si>
  <si>
    <t>APP-004</t>
  </si>
  <si>
    <t>Womens M004</t>
  </si>
  <si>
    <t>Umbra</t>
  </si>
  <si>
    <t>Womens</t>
  </si>
  <si>
    <t>APP-005</t>
  </si>
  <si>
    <t>Kids M005</t>
  </si>
  <si>
    <t>Stark</t>
  </si>
  <si>
    <t>Kids</t>
  </si>
  <si>
    <t>Supplier E</t>
  </si>
  <si>
    <t>HOM-006</t>
  </si>
  <si>
    <t>Kitchen M006</t>
  </si>
  <si>
    <t>Wayne</t>
  </si>
  <si>
    <t>Kitchen</t>
  </si>
  <si>
    <t>Home</t>
  </si>
  <si>
    <t>Supplier F</t>
  </si>
  <si>
    <t>HOM-007</t>
  </si>
  <si>
    <t>Furniture M007</t>
  </si>
  <si>
    <t>Soylent</t>
  </si>
  <si>
    <t>Furniture</t>
  </si>
  <si>
    <t>Supplier G</t>
  </si>
  <si>
    <t>HOM-008</t>
  </si>
  <si>
    <t>Decor M008</t>
  </si>
  <si>
    <t>Decor</t>
  </si>
  <si>
    <t>Supplier H</t>
  </si>
  <si>
    <t>SPO-009</t>
  </si>
  <si>
    <t>Fitness M009</t>
  </si>
  <si>
    <t>Fitness</t>
  </si>
  <si>
    <t>Sports</t>
  </si>
  <si>
    <t>Supplier I</t>
  </si>
  <si>
    <t>SPO-010</t>
  </si>
  <si>
    <t>Outdoor M010</t>
  </si>
  <si>
    <t>Lumen</t>
  </si>
  <si>
    <t>Outdoor</t>
  </si>
  <si>
    <t>Supplier J</t>
  </si>
  <si>
    <t>SPO-011</t>
  </si>
  <si>
    <t>Team M011</t>
  </si>
  <si>
    <t>Team</t>
  </si>
  <si>
    <t>Supplier K</t>
  </si>
  <si>
    <t>BEA-012</t>
  </si>
  <si>
    <t>Skincare M012</t>
  </si>
  <si>
    <t>Skincare</t>
  </si>
  <si>
    <t>Beauty</t>
  </si>
  <si>
    <t>Supplier L</t>
  </si>
  <si>
    <t>BEA-013</t>
  </si>
  <si>
    <t>Makeup M013</t>
  </si>
  <si>
    <t>Makeup</t>
  </si>
  <si>
    <t>Supplier M</t>
  </si>
  <si>
    <t>BEA-014</t>
  </si>
  <si>
    <t>Fragrance M014</t>
  </si>
  <si>
    <t>Fragrance</t>
  </si>
  <si>
    <t>Supplier N</t>
  </si>
  <si>
    <t>IND-015</t>
  </si>
  <si>
    <t>Tools M015</t>
  </si>
  <si>
    <t>Tools</t>
  </si>
  <si>
    <t>Industrial</t>
  </si>
  <si>
    <t>Supplier O</t>
  </si>
  <si>
    <t>IND-016</t>
  </si>
  <si>
    <t>Safety M016</t>
  </si>
  <si>
    <t>Safety</t>
  </si>
  <si>
    <t>IND-017</t>
  </si>
  <si>
    <t>Fasteners M017</t>
  </si>
  <si>
    <t>Fasteners</t>
  </si>
  <si>
    <t>ELE-020</t>
  </si>
  <si>
    <t>Audio M020</t>
  </si>
  <si>
    <t>APP-021</t>
  </si>
  <si>
    <t>Mens M021</t>
  </si>
  <si>
    <t>APP-022</t>
  </si>
  <si>
    <t>Womens M022</t>
  </si>
  <si>
    <t>APP-023</t>
  </si>
  <si>
    <t>Kids M023</t>
  </si>
  <si>
    <t>HOM-024</t>
  </si>
  <si>
    <t>Kitchen M024</t>
  </si>
  <si>
    <t>HOM-025</t>
  </si>
  <si>
    <t>Furniture M025</t>
  </si>
  <si>
    <t>HOM-026</t>
  </si>
  <si>
    <t>Decor M026</t>
  </si>
  <si>
    <t>SPO-027</t>
  </si>
  <si>
    <t>Fitness M027</t>
  </si>
  <si>
    <t>SPO-028</t>
  </si>
  <si>
    <t>Outdoor M028</t>
  </si>
  <si>
    <t>SPO-029</t>
  </si>
  <si>
    <t>Team M029</t>
  </si>
  <si>
    <t>BEA-030</t>
  </si>
  <si>
    <t>Skincare M030</t>
  </si>
  <si>
    <t>BEA-031</t>
  </si>
  <si>
    <t>Makeup M031</t>
  </si>
  <si>
    <t>BEA-032</t>
  </si>
  <si>
    <t>Fragrance M032</t>
  </si>
  <si>
    <t>IND-033</t>
  </si>
  <si>
    <t>Tools M033</t>
  </si>
  <si>
    <t>IND-034</t>
  </si>
  <si>
    <t>Safety M034</t>
  </si>
  <si>
    <t>IND-035</t>
  </si>
  <si>
    <t>Fasteners M035</t>
  </si>
  <si>
    <t>ELE-036</t>
  </si>
  <si>
    <t>Phones M036</t>
  </si>
  <si>
    <t>ELE-037</t>
  </si>
  <si>
    <t>Laptops M037</t>
  </si>
  <si>
    <t>ELE-038</t>
  </si>
  <si>
    <t>Audio M038</t>
  </si>
  <si>
    <t>APP-039</t>
  </si>
  <si>
    <t>Mens M039</t>
  </si>
  <si>
    <t>APP-040</t>
  </si>
  <si>
    <t>Womens M040</t>
  </si>
  <si>
    <t>APP-041</t>
  </si>
  <si>
    <t>Kids M041</t>
  </si>
  <si>
    <t>HOM-042</t>
  </si>
  <si>
    <t>Kitchen M042</t>
  </si>
  <si>
    <t>HOM-043</t>
  </si>
  <si>
    <t>Furniture M043</t>
  </si>
  <si>
    <t>HOM-044</t>
  </si>
  <si>
    <t>Decor M044</t>
  </si>
  <si>
    <t>SPO-045</t>
  </si>
  <si>
    <t>Fitness M045</t>
  </si>
  <si>
    <t>SPO-046</t>
  </si>
  <si>
    <t>Outdoor M046</t>
  </si>
  <si>
    <t>SPO-047</t>
  </si>
  <si>
    <t>Team M047</t>
  </si>
  <si>
    <t>BEA-048</t>
  </si>
  <si>
    <t>Skincare M048</t>
  </si>
  <si>
    <t>BEA-049</t>
  </si>
  <si>
    <t>Makeup M049</t>
  </si>
  <si>
    <t>BEA-050</t>
  </si>
  <si>
    <t>Fragrance M050</t>
  </si>
  <si>
    <t>IND-051</t>
  </si>
  <si>
    <t>Tools M051</t>
  </si>
  <si>
    <t>IND-052</t>
  </si>
  <si>
    <t>Safety M052</t>
  </si>
  <si>
    <t>IND-053</t>
  </si>
  <si>
    <t>Fasteners M053</t>
  </si>
  <si>
    <t>ELE-054</t>
  </si>
  <si>
    <t>Phones M054</t>
  </si>
  <si>
    <t>ELE-055</t>
  </si>
  <si>
    <t>Laptops M055</t>
  </si>
  <si>
    <t>ELE-056</t>
  </si>
  <si>
    <t>Audio M056</t>
  </si>
  <si>
    <t>APP-057</t>
  </si>
  <si>
    <t>Mens M057</t>
  </si>
  <si>
    <t>APP-058</t>
  </si>
  <si>
    <t>Womens M058</t>
  </si>
  <si>
    <t>APP-059</t>
  </si>
  <si>
    <t>Kids M059</t>
  </si>
  <si>
    <t>HOM-060</t>
  </si>
  <si>
    <t>Kitchen M060</t>
  </si>
  <si>
    <t>order_id</t>
  </si>
  <si>
    <t>order_date</t>
  </si>
  <si>
    <t>ship_date</t>
  </si>
  <si>
    <t>delivery_date</t>
  </si>
  <si>
    <t>invoice_date</t>
  </si>
  <si>
    <t>pay_date</t>
  </si>
  <si>
    <t>order_to_pay_duration</t>
  </si>
  <si>
    <t>ORD00008</t>
  </si>
  <si>
    <t>ORD00044</t>
  </si>
  <si>
    <t>ORD00014</t>
  </si>
  <si>
    <t>ORD00036</t>
  </si>
  <si>
    <t>ORD00020</t>
  </si>
  <si>
    <t>ORD00021</t>
  </si>
  <si>
    <t>ORD00025</t>
  </si>
  <si>
    <t>ORD00030</t>
  </si>
  <si>
    <t>ORD00017</t>
  </si>
  <si>
    <t>ORD00019</t>
  </si>
  <si>
    <t>ORD00041</t>
  </si>
  <si>
    <t>ORD00028</t>
  </si>
  <si>
    <t>ORD00034</t>
  </si>
  <si>
    <t>ORD00047</t>
  </si>
  <si>
    <t>ORD00048</t>
  </si>
  <si>
    <t>ORD00050</t>
  </si>
  <si>
    <t>ORD00051</t>
  </si>
  <si>
    <t>ORD00057</t>
  </si>
  <si>
    <t>ORD00059</t>
  </si>
  <si>
    <t>ORD00060</t>
  </si>
  <si>
    <t>ORD00062</t>
  </si>
  <si>
    <t>ORD00063</t>
  </si>
  <si>
    <t>ORD00064</t>
  </si>
  <si>
    <t>ORD00069</t>
  </si>
  <si>
    <t>ORD00072</t>
  </si>
  <si>
    <t>ORD00075</t>
  </si>
  <si>
    <t>ORD00078</t>
  </si>
  <si>
    <t>ORD00010</t>
  </si>
  <si>
    <t>ORD00035</t>
  </si>
  <si>
    <t>ORD00052</t>
  </si>
  <si>
    <t>ORD00070</t>
  </si>
  <si>
    <t>ORD00073</t>
  </si>
  <si>
    <t>ORD00005</t>
  </si>
  <si>
    <t>ORD00007</t>
  </si>
  <si>
    <t>ORD00026</t>
  </si>
  <si>
    <t>ORD00054</t>
  </si>
  <si>
    <t>ORD00066</t>
  </si>
  <si>
    <t>ORD00043</t>
  </si>
  <si>
    <t>ORD00061</t>
  </si>
  <si>
    <t>ORD00077</t>
  </si>
  <si>
    <t>ORD00001</t>
  </si>
  <si>
    <t>ORD00004</t>
  </si>
  <si>
    <t>ORD00002</t>
  </si>
  <si>
    <t>ORD00009</t>
  </si>
  <si>
    <t>ORD00006</t>
  </si>
  <si>
    <t>ORD00011</t>
  </si>
  <si>
    <t>ORD00012</t>
  </si>
  <si>
    <t>ORD00024</t>
  </si>
  <si>
    <t>ORD00015</t>
  </si>
  <si>
    <t>ORD00013</t>
  </si>
  <si>
    <t>ORD00029</t>
  </si>
  <si>
    <t>ORD00016</t>
  </si>
  <si>
    <t>ORD00031</t>
  </si>
  <si>
    <t>ORD00040</t>
  </si>
  <si>
    <t>ORD00023</t>
  </si>
  <si>
    <t>ORD00027</t>
  </si>
  <si>
    <t>ORD00032</t>
  </si>
  <si>
    <t>ORD00042</t>
  </si>
  <si>
    <t>ORD00038</t>
  </si>
  <si>
    <t>ORD00045</t>
  </si>
  <si>
    <t>ORD00046</t>
  </si>
  <si>
    <t>ORD00049</t>
  </si>
  <si>
    <t>ORD00055</t>
  </si>
  <si>
    <t>ORD00056</t>
  </si>
  <si>
    <t>ORD00058</t>
  </si>
  <si>
    <t>ORD00065</t>
  </si>
  <si>
    <t>ORD00067</t>
  </si>
  <si>
    <t>ORD00068</t>
  </si>
  <si>
    <t>ORD00071</t>
  </si>
  <si>
    <t>ORD00074</t>
  </si>
  <si>
    <t>ORD00076</t>
  </si>
  <si>
    <t>ORD00079</t>
  </si>
  <si>
    <t>ORD00080</t>
  </si>
  <si>
    <t>ORD00033</t>
  </si>
  <si>
    <t>ORD00037</t>
  </si>
  <si>
    <t>ORD00053</t>
  </si>
  <si>
    <t>ORD00003</t>
  </si>
  <si>
    <t>ORD00022</t>
  </si>
  <si>
    <t>ORD00018</t>
  </si>
  <si>
    <t>ORD00039</t>
  </si>
  <si>
    <t>target_revenue</t>
  </si>
  <si>
    <t>impression</t>
  </si>
  <si>
    <t>clicks</t>
  </si>
  <si>
    <t>spend</t>
  </si>
  <si>
    <t>units</t>
  </si>
  <si>
    <t>line_id</t>
  </si>
  <si>
    <t>quantity</t>
  </si>
  <si>
    <t>unit_cost</t>
  </si>
  <si>
    <t>discount_pct</t>
  </si>
  <si>
    <t>line_total</t>
  </si>
  <si>
    <t>ship_to_city_key</t>
  </si>
  <si>
    <t>bill_to_city_key</t>
  </si>
  <si>
    <t>L00001</t>
  </si>
  <si>
    <t>L00061</t>
  </si>
  <si>
    <t>L00007</t>
  </si>
  <si>
    <t>L00005</t>
  </si>
  <si>
    <t>L00025</t>
  </si>
  <si>
    <t>L00002</t>
  </si>
  <si>
    <t>L00026</t>
  </si>
  <si>
    <t>L00037</t>
  </si>
  <si>
    <t>L00032</t>
  </si>
  <si>
    <t>L00019</t>
  </si>
  <si>
    <t>L00038</t>
  </si>
  <si>
    <t>L00008</t>
  </si>
  <si>
    <t>L00043</t>
  </si>
  <si>
    <t>L00017</t>
  </si>
  <si>
    <t>L00059</t>
  </si>
  <si>
    <t>L00011</t>
  </si>
  <si>
    <t>L00044</t>
  </si>
  <si>
    <t>L00031</t>
  </si>
  <si>
    <t>L00062</t>
  </si>
  <si>
    <t>L00020</t>
  </si>
  <si>
    <t>L00050</t>
  </si>
  <si>
    <t>L00014</t>
  </si>
  <si>
    <t>L00035</t>
  </si>
  <si>
    <t>L00047</t>
  </si>
  <si>
    <t>L00029</t>
  </si>
  <si>
    <t>L00073</t>
  </si>
  <si>
    <t>L00013</t>
  </si>
  <si>
    <t>L00041</t>
  </si>
  <si>
    <t>L00023</t>
  </si>
  <si>
    <t>L00077</t>
  </si>
  <si>
    <t>L00049</t>
  </si>
  <si>
    <t>L00053</t>
  </si>
  <si>
    <t>L00055</t>
  </si>
  <si>
    <t>L00056</t>
  </si>
  <si>
    <t>L00065</t>
  </si>
  <si>
    <t>L00067</t>
  </si>
  <si>
    <t>L00068</t>
  </si>
  <si>
    <t>L00071</t>
  </si>
  <si>
    <t>L00074</t>
  </si>
  <si>
    <t>L00079</t>
  </si>
  <si>
    <t>L00080</t>
  </si>
  <si>
    <t>L00083</t>
  </si>
  <si>
    <t>L00085</t>
  </si>
  <si>
    <t>L00086</t>
  </si>
  <si>
    <t>L00089</t>
  </si>
  <si>
    <t>L00091</t>
  </si>
  <si>
    <t>L00092</t>
  </si>
  <si>
    <t>L00095</t>
  </si>
  <si>
    <t>L00097</t>
  </si>
  <si>
    <t>L00098</t>
  </si>
  <si>
    <t>L00101</t>
  </si>
  <si>
    <t>L00103</t>
  </si>
  <si>
    <t>L00104</t>
  </si>
  <si>
    <t>L00107</t>
  </si>
  <si>
    <t>L00109</t>
  </si>
  <si>
    <t>L00110</t>
  </si>
  <si>
    <t>L00113</t>
  </si>
  <si>
    <t>L00115</t>
  </si>
  <si>
    <t>L00116</t>
  </si>
  <si>
    <t>L00119</t>
  </si>
  <si>
    <t>L00121</t>
  </si>
  <si>
    <t>L00122</t>
  </si>
  <si>
    <t>L00125</t>
  </si>
  <si>
    <t>L00127</t>
  </si>
  <si>
    <t>L00128</t>
  </si>
  <si>
    <t>L00131</t>
  </si>
  <si>
    <t>L00133</t>
  </si>
  <si>
    <t>L00134</t>
  </si>
  <si>
    <t>L00137</t>
  </si>
  <si>
    <t>L00139</t>
  </si>
  <si>
    <t>L00140</t>
  </si>
  <si>
    <t>L00143</t>
  </si>
  <si>
    <t>L00145</t>
  </si>
  <si>
    <t>L00146</t>
  </si>
  <si>
    <t>L00149</t>
  </si>
  <si>
    <t>L00151</t>
  </si>
  <si>
    <t>L00152</t>
  </si>
  <si>
    <t>L00155</t>
  </si>
  <si>
    <t>L00157</t>
  </si>
  <si>
    <t>L00158</t>
  </si>
  <si>
    <t>L00161</t>
  </si>
  <si>
    <t>L00163</t>
  </si>
  <si>
    <t>L00164</t>
  </si>
  <si>
    <t>L00167</t>
  </si>
  <si>
    <t>L00169</t>
  </si>
  <si>
    <t>L00170</t>
  </si>
  <si>
    <t>L00173</t>
  </si>
  <si>
    <t>L00175</t>
  </si>
  <si>
    <t>L00176</t>
  </si>
  <si>
    <t>L00179</t>
  </si>
  <si>
    <t>L00181</t>
  </si>
  <si>
    <t>L00182</t>
  </si>
  <si>
    <t>L00185</t>
  </si>
  <si>
    <t>L00187</t>
  </si>
  <si>
    <t>L00188</t>
  </si>
  <si>
    <t>L00191</t>
  </si>
  <si>
    <t>L00193</t>
  </si>
  <si>
    <t>L00194</t>
  </si>
  <si>
    <t>L00197</t>
  </si>
  <si>
    <t>L00199</t>
  </si>
  <si>
    <t>L00200</t>
  </si>
  <si>
    <t>L00060</t>
  </si>
  <si>
    <t>L00027</t>
  </si>
  <si>
    <t>L00003</t>
  </si>
  <si>
    <t>L00075</t>
  </si>
  <si>
    <t>L00006</t>
  </si>
  <si>
    <t>L00066</t>
  </si>
  <si>
    <t>L00070</t>
  </si>
  <si>
    <t>L00057</t>
  </si>
  <si>
    <t>L00072</t>
  </si>
  <si>
    <t>L00051</t>
  </si>
  <si>
    <t>L00015</t>
  </si>
  <si>
    <t>L00081</t>
  </si>
  <si>
    <t>L00004</t>
  </si>
  <si>
    <t>L00036</t>
  </si>
  <si>
    <t>L00033</t>
  </si>
  <si>
    <t>L00034</t>
  </si>
  <si>
    <t>L00028</t>
  </si>
  <si>
    <t>L00063</t>
  </si>
  <si>
    <t>L00069</t>
  </si>
  <si>
    <t>L00021</t>
  </si>
  <si>
    <t>L00010</t>
  </si>
  <si>
    <t>L00022</t>
  </si>
  <si>
    <t>L00048</t>
  </si>
  <si>
    <t>L00054</t>
  </si>
  <si>
    <t>L00009</t>
  </si>
  <si>
    <t>L00018</t>
  </si>
  <si>
    <t>L00030</t>
  </si>
  <si>
    <t>L00012</t>
  </si>
  <si>
    <t>L00064</t>
  </si>
  <si>
    <t>L00052</t>
  </si>
  <si>
    <t>L00024</t>
  </si>
  <si>
    <t>L00016</t>
  </si>
  <si>
    <t>L00039</t>
  </si>
  <si>
    <t>L00040</t>
  </si>
  <si>
    <t>L00078</t>
  </si>
  <si>
    <t>L00042</t>
  </si>
  <si>
    <t>L00045</t>
  </si>
  <si>
    <t>L00046</t>
  </si>
  <si>
    <t>L00058</t>
  </si>
  <si>
    <t>L00076</t>
  </si>
  <si>
    <t>L00082</t>
  </si>
  <si>
    <t>L00084</t>
  </si>
  <si>
    <t>L00087</t>
  </si>
  <si>
    <t>L00088</t>
  </si>
  <si>
    <t>L00090</t>
  </si>
  <si>
    <t>L00093</t>
  </si>
  <si>
    <t>L00094</t>
  </si>
  <si>
    <t>L00096</t>
  </si>
  <si>
    <t>L00099</t>
  </si>
  <si>
    <t>L00100</t>
  </si>
  <si>
    <t>L00102</t>
  </si>
  <si>
    <t>L00105</t>
  </si>
  <si>
    <t>L00106</t>
  </si>
  <si>
    <t>L00108</t>
  </si>
  <si>
    <t>L00111</t>
  </si>
  <si>
    <t>L00112</t>
  </si>
  <si>
    <t>L00114</t>
  </si>
  <si>
    <t>L00117</t>
  </si>
  <si>
    <t>L00118</t>
  </si>
  <si>
    <t>L00120</t>
  </si>
  <si>
    <t>L00123</t>
  </si>
  <si>
    <t>L00124</t>
  </si>
  <si>
    <t>L00126</t>
  </si>
  <si>
    <t>L00129</t>
  </si>
  <si>
    <t>L00130</t>
  </si>
  <si>
    <t>L00132</t>
  </si>
  <si>
    <t>L00135</t>
  </si>
  <si>
    <t>L00136</t>
  </si>
  <si>
    <t>L00138</t>
  </si>
  <si>
    <t>L00141</t>
  </si>
  <si>
    <t>L00142</t>
  </si>
  <si>
    <t>L00144</t>
  </si>
  <si>
    <t>L00147</t>
  </si>
  <si>
    <t>L00148</t>
  </si>
  <si>
    <t>L00150</t>
  </si>
  <si>
    <t>L00153</t>
  </si>
  <si>
    <t>L00154</t>
  </si>
  <si>
    <t>L00156</t>
  </si>
  <si>
    <t>L00159</t>
  </si>
  <si>
    <t>L00160</t>
  </si>
  <si>
    <t>L00162</t>
  </si>
  <si>
    <t>L00165</t>
  </si>
  <si>
    <t>L00166</t>
  </si>
  <si>
    <t>L00168</t>
  </si>
  <si>
    <t>L00171</t>
  </si>
  <si>
    <t>L00172</t>
  </si>
  <si>
    <t>L00174</t>
  </si>
  <si>
    <t>L00177</t>
  </si>
  <si>
    <t>L00178</t>
  </si>
  <si>
    <t>L00180</t>
  </si>
  <si>
    <t>L00183</t>
  </si>
  <si>
    <t>L00184</t>
  </si>
  <si>
    <t>L00186</t>
  </si>
  <si>
    <t>L00189</t>
  </si>
  <si>
    <t>L00190</t>
  </si>
  <si>
    <t>L00192</t>
  </si>
  <si>
    <t>L00195</t>
  </si>
  <si>
    <t>L00196</t>
  </si>
  <si>
    <t>L00198</t>
  </si>
  <si>
    <t>user_email</t>
  </si>
  <si>
    <t>nora.adel@arka.com</t>
  </si>
  <si>
    <t>hans.weber@arka.com</t>
  </si>
  <si>
    <t>kenji.sato@arka.com</t>
  </si>
  <si>
    <t>diego.ramos@arka.com</t>
  </si>
  <si>
    <t>omar.farouk@arka.com</t>
  </si>
  <si>
    <t>Column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</si>
</sst>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CAF734-7D5A-4B68-BAA5-74A93AFEFDD0}">
  <sheetPr codeName="Sheet2"/>
  <dimension ref="A1:F7"/>
  <sheetViews>
    <sheetView tabSelected="1" workbookViewId="0">
      <selection activeCell="D1" sqref="D1:F7"/>
    </sheetView>
  </sheetViews>
  <sheetFormatPr defaultRowHeight="14.4" x14ac:dyDescent="0.3"/>
  <cols>
    <col min="1" max="1" width="12.33203125" bestFit="1" customWidth="1"/>
    <col min="2" max="2" width="17.5546875" bestFit="1" customWidth="1"/>
    <col min="3" max="3" width="10.5546875" bestFit="1" customWidth="1"/>
    <col min="4" max="6" width="10.33203125" bestFit="1" customWidth="1"/>
  </cols>
  <sheetData>
    <row r="1" spans="1:6" x14ac:dyDescent="0.3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1</v>
      </c>
      <c r="B2" t="s">
        <v>6</v>
      </c>
      <c r="C2" t="s">
        <v>7</v>
      </c>
      <c r="D2" s="1">
        <v>45717</v>
      </c>
      <c r="E2" s="1">
        <v>45747</v>
      </c>
      <c r="F2" s="1">
        <v>8000</v>
      </c>
    </row>
    <row r="3" spans="1:6" x14ac:dyDescent="0.3">
      <c r="A3">
        <v>2</v>
      </c>
      <c r="B3" t="s">
        <v>8</v>
      </c>
      <c r="C3" t="s">
        <v>9</v>
      </c>
      <c r="D3" s="1">
        <v>45823</v>
      </c>
      <c r="E3" s="1">
        <v>45853</v>
      </c>
      <c r="F3" s="1">
        <v>15000</v>
      </c>
    </row>
    <row r="4" spans="1:6" x14ac:dyDescent="0.3">
      <c r="A4">
        <v>3</v>
      </c>
      <c r="B4" t="s">
        <v>10</v>
      </c>
      <c r="C4" t="s">
        <v>11</v>
      </c>
      <c r="D4" s="1">
        <v>45889</v>
      </c>
      <c r="E4" s="1">
        <v>45910</v>
      </c>
      <c r="F4" s="1">
        <v>9000</v>
      </c>
    </row>
    <row r="5" spans="1:6" x14ac:dyDescent="0.3">
      <c r="A5">
        <v>4</v>
      </c>
      <c r="B5" t="s">
        <v>12</v>
      </c>
      <c r="C5" t="s">
        <v>13</v>
      </c>
      <c r="D5" s="1">
        <v>45986</v>
      </c>
      <c r="E5" s="1">
        <v>45991</v>
      </c>
      <c r="F5" s="1">
        <v>30000</v>
      </c>
    </row>
    <row r="6" spans="1:6" x14ac:dyDescent="0.3">
      <c r="A6">
        <v>5</v>
      </c>
      <c r="B6" t="s">
        <v>14</v>
      </c>
      <c r="C6" t="s">
        <v>7</v>
      </c>
      <c r="D6" s="1">
        <v>46024</v>
      </c>
      <c r="E6" s="1">
        <v>46042</v>
      </c>
      <c r="F6" s="1">
        <v>7000</v>
      </c>
    </row>
    <row r="7" spans="1:6" x14ac:dyDescent="0.3">
      <c r="A7">
        <v>6</v>
      </c>
      <c r="B7" t="s">
        <v>15</v>
      </c>
      <c r="C7" t="s">
        <v>9</v>
      </c>
      <c r="D7" s="1">
        <v>46082</v>
      </c>
      <c r="E7" s="1">
        <v>46112</v>
      </c>
      <c r="F7" s="1">
        <v>12000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8787D-C105-416D-9660-8962124ADCB8}">
  <sheetPr codeName="Sheet3"/>
  <dimension ref="A1:L61"/>
  <sheetViews>
    <sheetView workbookViewId="0"/>
  </sheetViews>
  <sheetFormatPr defaultRowHeight="14.4" x14ac:dyDescent="0.3"/>
  <cols>
    <col min="1" max="1" width="10.88671875" bestFit="1" customWidth="1"/>
    <col min="2" max="2" width="18.77734375" bestFit="1" customWidth="1"/>
    <col min="3" max="3" width="10.109375" bestFit="1" customWidth="1"/>
    <col min="4" max="4" width="16.44140625" bestFit="1" customWidth="1"/>
    <col min="5" max="5" width="13.44140625" bestFit="1" customWidth="1"/>
    <col min="6" max="6" width="13.109375" bestFit="1" customWidth="1"/>
    <col min="7" max="7" width="26.109375" bestFit="1" customWidth="1"/>
    <col min="8" max="8" width="9.88671875" bestFit="1" customWidth="1"/>
    <col min="9" max="9" width="12.109375" bestFit="1" customWidth="1"/>
    <col min="10" max="10" width="11.77734375" bestFit="1" customWidth="1"/>
    <col min="11" max="11" width="11.44140625" bestFit="1" customWidth="1"/>
    <col min="12" max="12" width="12.6640625" bestFit="1" customWidth="1"/>
  </cols>
  <sheetData>
    <row r="1" spans="1:12" x14ac:dyDescent="0.3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25</v>
      </c>
      <c r="K1" t="s">
        <v>26</v>
      </c>
      <c r="L1" t="s">
        <v>27</v>
      </c>
    </row>
    <row r="2" spans="1:12" x14ac:dyDescent="0.3">
      <c r="A2">
        <v>1001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>
        <v>10000</v>
      </c>
      <c r="I2">
        <f>77-140-8078</f>
        <v>-8141</v>
      </c>
      <c r="J2" t="s">
        <v>34</v>
      </c>
      <c r="K2" t="s">
        <v>35</v>
      </c>
      <c r="L2" t="s">
        <v>36</v>
      </c>
    </row>
    <row r="3" spans="1:12" x14ac:dyDescent="0.3">
      <c r="A3">
        <v>1010</v>
      </c>
      <c r="B3" t="s">
        <v>37</v>
      </c>
      <c r="C3" t="s">
        <v>38</v>
      </c>
      <c r="D3" t="s">
        <v>39</v>
      </c>
      <c r="E3" t="s">
        <v>40</v>
      </c>
      <c r="F3" t="s">
        <v>41</v>
      </c>
      <c r="G3" t="s">
        <v>42</v>
      </c>
      <c r="H3">
        <v>50000</v>
      </c>
      <c r="I3">
        <f>71-234-5719</f>
        <v>-5882</v>
      </c>
      <c r="J3" t="s">
        <v>43</v>
      </c>
      <c r="K3" t="s">
        <v>35</v>
      </c>
      <c r="L3" t="s">
        <v>36</v>
      </c>
    </row>
    <row r="4" spans="1:12" x14ac:dyDescent="0.3">
      <c r="A4">
        <v>1002</v>
      </c>
      <c r="B4" t="s">
        <v>44</v>
      </c>
      <c r="C4" t="s">
        <v>38</v>
      </c>
      <c r="D4" t="s">
        <v>45</v>
      </c>
      <c r="E4" t="s">
        <v>40</v>
      </c>
      <c r="F4" t="s">
        <v>46</v>
      </c>
      <c r="G4" t="s">
        <v>47</v>
      </c>
      <c r="H4">
        <v>10000</v>
      </c>
      <c r="I4">
        <f>30-790-1339</f>
        <v>-2099</v>
      </c>
      <c r="J4" t="s">
        <v>48</v>
      </c>
      <c r="K4" t="s">
        <v>49</v>
      </c>
      <c r="L4" t="s">
        <v>50</v>
      </c>
    </row>
    <row r="5" spans="1:12" x14ac:dyDescent="0.3">
      <c r="A5">
        <v>1021</v>
      </c>
      <c r="B5" t="s">
        <v>51</v>
      </c>
      <c r="C5" t="s">
        <v>29</v>
      </c>
      <c r="D5" t="s">
        <v>30</v>
      </c>
      <c r="E5" t="s">
        <v>31</v>
      </c>
      <c r="F5" t="s">
        <v>52</v>
      </c>
      <c r="G5" t="s">
        <v>53</v>
      </c>
      <c r="H5">
        <v>100000</v>
      </c>
      <c r="I5">
        <f>85-911-3492</f>
        <v>-4318</v>
      </c>
      <c r="J5" t="s">
        <v>54</v>
      </c>
      <c r="K5" t="s">
        <v>49</v>
      </c>
      <c r="L5" t="s">
        <v>50</v>
      </c>
    </row>
    <row r="6" spans="1:12" x14ac:dyDescent="0.3">
      <c r="A6">
        <v>1003</v>
      </c>
      <c r="B6" t="s">
        <v>55</v>
      </c>
      <c r="C6" t="s">
        <v>29</v>
      </c>
      <c r="D6" t="s">
        <v>56</v>
      </c>
      <c r="E6" t="s">
        <v>57</v>
      </c>
      <c r="F6" t="s">
        <v>58</v>
      </c>
      <c r="G6" t="s">
        <v>59</v>
      </c>
      <c r="H6">
        <v>250000</v>
      </c>
      <c r="I6">
        <f>6-881-3870</f>
        <v>-4745</v>
      </c>
      <c r="J6" t="s">
        <v>60</v>
      </c>
      <c r="K6" t="s">
        <v>61</v>
      </c>
      <c r="L6" t="s">
        <v>62</v>
      </c>
    </row>
    <row r="7" spans="1:12" x14ac:dyDescent="0.3">
      <c r="A7">
        <v>1014</v>
      </c>
      <c r="B7" t="s">
        <v>63</v>
      </c>
      <c r="C7" t="s">
        <v>64</v>
      </c>
      <c r="D7" t="s">
        <v>65</v>
      </c>
      <c r="E7" t="s">
        <v>40</v>
      </c>
      <c r="F7" t="s">
        <v>66</v>
      </c>
      <c r="G7" t="s">
        <v>67</v>
      </c>
      <c r="H7">
        <v>50000</v>
      </c>
      <c r="I7">
        <f>54-954-8905</f>
        <v>-9805</v>
      </c>
      <c r="J7" t="s">
        <v>68</v>
      </c>
      <c r="K7" t="s">
        <v>61</v>
      </c>
      <c r="L7" t="s">
        <v>62</v>
      </c>
    </row>
    <row r="8" spans="1:12" x14ac:dyDescent="0.3">
      <c r="A8">
        <v>1007</v>
      </c>
      <c r="B8" t="s">
        <v>69</v>
      </c>
      <c r="C8" t="s">
        <v>29</v>
      </c>
      <c r="D8" t="s">
        <v>45</v>
      </c>
      <c r="E8" t="s">
        <v>57</v>
      </c>
      <c r="F8" t="s">
        <v>70</v>
      </c>
      <c r="G8" t="s">
        <v>71</v>
      </c>
      <c r="H8">
        <v>10000</v>
      </c>
      <c r="I8">
        <f>41-358-6296</f>
        <v>-6613</v>
      </c>
      <c r="J8" t="s">
        <v>72</v>
      </c>
      <c r="K8" t="s">
        <v>73</v>
      </c>
      <c r="L8" t="s">
        <v>74</v>
      </c>
    </row>
    <row r="9" spans="1:12" x14ac:dyDescent="0.3">
      <c r="A9">
        <v>1011</v>
      </c>
      <c r="B9" t="s">
        <v>75</v>
      </c>
      <c r="C9" t="s">
        <v>38</v>
      </c>
      <c r="D9" t="s">
        <v>30</v>
      </c>
      <c r="E9" t="s">
        <v>57</v>
      </c>
      <c r="F9" t="s">
        <v>76</v>
      </c>
      <c r="G9" t="s">
        <v>77</v>
      </c>
      <c r="H9">
        <v>10000</v>
      </c>
      <c r="I9">
        <f>81-723-4920</f>
        <v>-5562</v>
      </c>
      <c r="J9" t="s">
        <v>78</v>
      </c>
      <c r="K9" t="s">
        <v>73</v>
      </c>
      <c r="L9" t="s">
        <v>74</v>
      </c>
    </row>
    <row r="10" spans="1:12" x14ac:dyDescent="0.3">
      <c r="A10">
        <v>1004</v>
      </c>
      <c r="B10" t="s">
        <v>79</v>
      </c>
      <c r="C10" t="s">
        <v>29</v>
      </c>
      <c r="D10" t="s">
        <v>65</v>
      </c>
      <c r="E10" t="s">
        <v>80</v>
      </c>
      <c r="F10" t="s">
        <v>81</v>
      </c>
      <c r="G10" t="s">
        <v>82</v>
      </c>
      <c r="H10">
        <v>25000</v>
      </c>
      <c r="I10">
        <f>75-546-9056</f>
        <v>-9527</v>
      </c>
      <c r="J10" t="s">
        <v>83</v>
      </c>
      <c r="K10" t="s">
        <v>84</v>
      </c>
      <c r="L10" t="s">
        <v>62</v>
      </c>
    </row>
    <row r="11" spans="1:12" x14ac:dyDescent="0.3">
      <c r="A11">
        <v>1005</v>
      </c>
      <c r="B11" t="s">
        <v>85</v>
      </c>
      <c r="C11" t="s">
        <v>29</v>
      </c>
      <c r="D11" t="s">
        <v>39</v>
      </c>
      <c r="E11" t="s">
        <v>31</v>
      </c>
      <c r="F11" t="s">
        <v>86</v>
      </c>
      <c r="G11" t="s">
        <v>87</v>
      </c>
      <c r="H11">
        <v>50000</v>
      </c>
      <c r="I11">
        <f>42-786-2713</f>
        <v>-3457</v>
      </c>
      <c r="J11" t="s">
        <v>88</v>
      </c>
      <c r="K11" t="s">
        <v>89</v>
      </c>
      <c r="L11" t="s">
        <v>50</v>
      </c>
    </row>
    <row r="12" spans="1:12" x14ac:dyDescent="0.3">
      <c r="A12">
        <v>1018</v>
      </c>
      <c r="B12" t="s">
        <v>90</v>
      </c>
      <c r="C12" t="s">
        <v>64</v>
      </c>
      <c r="D12" t="s">
        <v>56</v>
      </c>
      <c r="E12" t="s">
        <v>40</v>
      </c>
      <c r="F12" t="s">
        <v>91</v>
      </c>
      <c r="G12" t="s">
        <v>92</v>
      </c>
      <c r="H12">
        <v>100000</v>
      </c>
      <c r="I12">
        <f>20-557-9824</f>
        <v>-10361</v>
      </c>
      <c r="J12" t="s">
        <v>93</v>
      </c>
      <c r="K12" t="s">
        <v>89</v>
      </c>
      <c r="L12" t="s">
        <v>50</v>
      </c>
    </row>
    <row r="13" spans="1:12" x14ac:dyDescent="0.3">
      <c r="A13">
        <v>1006</v>
      </c>
      <c r="B13" t="s">
        <v>94</v>
      </c>
      <c r="C13" t="s">
        <v>64</v>
      </c>
      <c r="D13" t="s">
        <v>30</v>
      </c>
      <c r="E13" t="s">
        <v>40</v>
      </c>
      <c r="F13" t="s">
        <v>65</v>
      </c>
      <c r="G13" t="s">
        <v>95</v>
      </c>
      <c r="H13">
        <v>100000</v>
      </c>
      <c r="I13">
        <f>37-778-7561</f>
        <v>-8302</v>
      </c>
      <c r="J13" t="s">
        <v>96</v>
      </c>
      <c r="K13" t="s">
        <v>97</v>
      </c>
      <c r="L13" t="s">
        <v>98</v>
      </c>
    </row>
    <row r="14" spans="1:12" x14ac:dyDescent="0.3">
      <c r="A14">
        <v>1015</v>
      </c>
      <c r="B14" t="s">
        <v>99</v>
      </c>
      <c r="C14" t="s">
        <v>64</v>
      </c>
      <c r="D14" t="s">
        <v>39</v>
      </c>
      <c r="E14" t="s">
        <v>57</v>
      </c>
      <c r="F14" t="s">
        <v>100</v>
      </c>
      <c r="G14" t="s">
        <v>101</v>
      </c>
      <c r="H14">
        <v>25000</v>
      </c>
      <c r="I14">
        <f>50-295-9327</f>
        <v>-9572</v>
      </c>
      <c r="J14" t="s">
        <v>102</v>
      </c>
      <c r="K14" t="s">
        <v>97</v>
      </c>
      <c r="L14" t="s">
        <v>98</v>
      </c>
    </row>
    <row r="15" spans="1:12" x14ac:dyDescent="0.3">
      <c r="A15">
        <v>1019</v>
      </c>
      <c r="B15" t="s">
        <v>103</v>
      </c>
      <c r="C15" t="s">
        <v>64</v>
      </c>
      <c r="D15" t="s">
        <v>65</v>
      </c>
      <c r="E15" t="s">
        <v>57</v>
      </c>
      <c r="F15" t="s">
        <v>81</v>
      </c>
      <c r="G15" t="s">
        <v>82</v>
      </c>
      <c r="H15">
        <v>100000</v>
      </c>
      <c r="I15">
        <f>59-429-4090</f>
        <v>-4460</v>
      </c>
      <c r="J15" t="s">
        <v>104</v>
      </c>
      <c r="K15" t="s">
        <v>105</v>
      </c>
      <c r="L15" t="s">
        <v>50</v>
      </c>
    </row>
    <row r="16" spans="1:12" x14ac:dyDescent="0.3">
      <c r="A16">
        <v>1008</v>
      </c>
      <c r="B16" t="s">
        <v>106</v>
      </c>
      <c r="C16" t="s">
        <v>64</v>
      </c>
      <c r="D16" t="s">
        <v>56</v>
      </c>
      <c r="E16" t="s">
        <v>80</v>
      </c>
      <c r="F16" t="s">
        <v>107</v>
      </c>
      <c r="G16" t="s">
        <v>108</v>
      </c>
      <c r="H16">
        <v>10000</v>
      </c>
      <c r="I16">
        <f>85-990-9889</f>
        <v>-10794</v>
      </c>
      <c r="J16" t="s">
        <v>109</v>
      </c>
      <c r="K16" t="s">
        <v>110</v>
      </c>
      <c r="L16" t="s">
        <v>36</v>
      </c>
    </row>
    <row r="17" spans="1:12" x14ac:dyDescent="0.3">
      <c r="A17">
        <v>1009</v>
      </c>
      <c r="B17" t="s">
        <v>111</v>
      </c>
      <c r="C17" t="s">
        <v>64</v>
      </c>
      <c r="D17" t="s">
        <v>65</v>
      </c>
      <c r="E17" t="s">
        <v>31</v>
      </c>
      <c r="F17" t="s">
        <v>112</v>
      </c>
      <c r="G17" t="s">
        <v>113</v>
      </c>
      <c r="H17">
        <v>50000</v>
      </c>
      <c r="I17">
        <f>80-874-9167</f>
        <v>-9961</v>
      </c>
      <c r="J17" t="s">
        <v>114</v>
      </c>
      <c r="K17" t="s">
        <v>115</v>
      </c>
      <c r="L17" t="s">
        <v>50</v>
      </c>
    </row>
    <row r="18" spans="1:12" x14ac:dyDescent="0.3">
      <c r="A18">
        <v>1013</v>
      </c>
      <c r="B18" t="s">
        <v>116</v>
      </c>
      <c r="C18" t="s">
        <v>29</v>
      </c>
      <c r="D18" t="s">
        <v>56</v>
      </c>
      <c r="E18" t="s">
        <v>31</v>
      </c>
      <c r="F18" t="s">
        <v>117</v>
      </c>
      <c r="G18" t="s">
        <v>118</v>
      </c>
      <c r="H18">
        <v>10000</v>
      </c>
      <c r="I18">
        <f>83-952-3522</f>
        <v>-4391</v>
      </c>
      <c r="J18" t="s">
        <v>119</v>
      </c>
      <c r="K18" t="s">
        <v>120</v>
      </c>
      <c r="L18" t="s">
        <v>62</v>
      </c>
    </row>
    <row r="19" spans="1:12" x14ac:dyDescent="0.3">
      <c r="A19">
        <v>1012</v>
      </c>
      <c r="B19" t="s">
        <v>121</v>
      </c>
      <c r="C19" t="s">
        <v>38</v>
      </c>
      <c r="D19" t="s">
        <v>45</v>
      </c>
      <c r="E19" t="s">
        <v>80</v>
      </c>
      <c r="F19" t="s">
        <v>122</v>
      </c>
      <c r="G19" t="s">
        <v>123</v>
      </c>
      <c r="H19">
        <v>250000</v>
      </c>
      <c r="I19">
        <f>53-195-4681</f>
        <v>-4823</v>
      </c>
      <c r="J19" t="s">
        <v>124</v>
      </c>
      <c r="K19" t="s">
        <v>125</v>
      </c>
      <c r="L19" t="s">
        <v>62</v>
      </c>
    </row>
    <row r="20" spans="1:12" x14ac:dyDescent="0.3">
      <c r="A20">
        <v>1017</v>
      </c>
      <c r="B20" t="s">
        <v>126</v>
      </c>
      <c r="C20" t="s">
        <v>29</v>
      </c>
      <c r="D20" t="s">
        <v>45</v>
      </c>
      <c r="E20" t="s">
        <v>31</v>
      </c>
      <c r="F20" t="s">
        <v>127</v>
      </c>
      <c r="G20" t="s">
        <v>128</v>
      </c>
      <c r="H20">
        <v>10000</v>
      </c>
      <c r="I20">
        <f>37-843-5891</f>
        <v>-6697</v>
      </c>
      <c r="J20" t="s">
        <v>129</v>
      </c>
      <c r="K20" t="s">
        <v>130</v>
      </c>
      <c r="L20" t="s">
        <v>36</v>
      </c>
    </row>
    <row r="21" spans="1:12" x14ac:dyDescent="0.3">
      <c r="A21">
        <v>1016</v>
      </c>
      <c r="B21" t="s">
        <v>131</v>
      </c>
      <c r="C21" t="s">
        <v>38</v>
      </c>
      <c r="D21" t="s">
        <v>30</v>
      </c>
      <c r="E21" t="s">
        <v>80</v>
      </c>
      <c r="F21" t="s">
        <v>132</v>
      </c>
      <c r="G21" t="s">
        <v>133</v>
      </c>
      <c r="H21">
        <v>50000</v>
      </c>
      <c r="I21">
        <f>99-908-7798</f>
        <v>-8607</v>
      </c>
      <c r="J21" t="s">
        <v>134</v>
      </c>
      <c r="K21" t="s">
        <v>135</v>
      </c>
      <c r="L21" t="s">
        <v>98</v>
      </c>
    </row>
    <row r="22" spans="1:12" x14ac:dyDescent="0.3">
      <c r="A22">
        <v>1020</v>
      </c>
      <c r="B22" t="s">
        <v>136</v>
      </c>
      <c r="C22" t="s">
        <v>29</v>
      </c>
      <c r="D22" t="s">
        <v>39</v>
      </c>
      <c r="E22" t="s">
        <v>80</v>
      </c>
      <c r="F22" t="s">
        <v>137</v>
      </c>
      <c r="G22" t="s">
        <v>138</v>
      </c>
      <c r="H22">
        <v>25000</v>
      </c>
      <c r="I22">
        <f>53-144-6213</f>
        <v>-6304</v>
      </c>
      <c r="J22" t="s">
        <v>139</v>
      </c>
      <c r="K22" t="s">
        <v>135</v>
      </c>
      <c r="L22" t="s">
        <v>98</v>
      </c>
    </row>
    <row r="23" spans="1:12" x14ac:dyDescent="0.3">
      <c r="A23">
        <v>1022</v>
      </c>
      <c r="B23" t="s">
        <v>140</v>
      </c>
      <c r="C23" t="s">
        <v>64</v>
      </c>
      <c r="D23" t="s">
        <v>45</v>
      </c>
      <c r="E23" t="s">
        <v>40</v>
      </c>
      <c r="F23" t="s">
        <v>141</v>
      </c>
      <c r="G23" t="s">
        <v>142</v>
      </c>
      <c r="H23">
        <v>250000</v>
      </c>
      <c r="I23">
        <f>43-990-2644</f>
        <v>-3591</v>
      </c>
      <c r="J23" t="s">
        <v>143</v>
      </c>
      <c r="K23" t="s">
        <v>35</v>
      </c>
      <c r="L23" t="s">
        <v>36</v>
      </c>
    </row>
    <row r="24" spans="1:12" x14ac:dyDescent="0.3">
      <c r="A24">
        <v>1023</v>
      </c>
      <c r="B24" t="s">
        <v>144</v>
      </c>
      <c r="C24" t="s">
        <v>64</v>
      </c>
      <c r="D24" t="s">
        <v>56</v>
      </c>
      <c r="E24" t="s">
        <v>57</v>
      </c>
      <c r="F24" t="s">
        <v>145</v>
      </c>
      <c r="G24" t="s">
        <v>146</v>
      </c>
      <c r="H24">
        <v>100000</v>
      </c>
      <c r="I24">
        <f>2-839-3361</f>
        <v>-4198</v>
      </c>
      <c r="J24" t="s">
        <v>147</v>
      </c>
      <c r="K24" t="s">
        <v>148</v>
      </c>
      <c r="L24" t="s">
        <v>98</v>
      </c>
    </row>
    <row r="25" spans="1:12" x14ac:dyDescent="0.3">
      <c r="A25">
        <v>1024</v>
      </c>
      <c r="B25" t="s">
        <v>149</v>
      </c>
      <c r="C25" t="s">
        <v>38</v>
      </c>
      <c r="D25" t="s">
        <v>65</v>
      </c>
      <c r="E25" t="s">
        <v>80</v>
      </c>
      <c r="F25" t="s">
        <v>150</v>
      </c>
      <c r="G25" t="s">
        <v>151</v>
      </c>
      <c r="H25">
        <v>10000</v>
      </c>
      <c r="I25">
        <f>61-900-5342</f>
        <v>-6181</v>
      </c>
      <c r="J25" t="s">
        <v>152</v>
      </c>
      <c r="K25" t="s">
        <v>153</v>
      </c>
      <c r="L25" t="s">
        <v>98</v>
      </c>
    </row>
    <row r="26" spans="1:12" x14ac:dyDescent="0.3">
      <c r="A26">
        <v>1025</v>
      </c>
      <c r="B26" t="s">
        <v>154</v>
      </c>
      <c r="C26" t="s">
        <v>64</v>
      </c>
      <c r="D26" t="s">
        <v>39</v>
      </c>
      <c r="E26" t="s">
        <v>31</v>
      </c>
      <c r="F26" t="s">
        <v>155</v>
      </c>
      <c r="G26" t="s">
        <v>156</v>
      </c>
      <c r="H26">
        <v>10000</v>
      </c>
      <c r="I26">
        <f>43-972-9742</f>
        <v>-10671</v>
      </c>
      <c r="J26" t="s">
        <v>157</v>
      </c>
      <c r="K26" t="s">
        <v>105</v>
      </c>
      <c r="L26" t="s">
        <v>50</v>
      </c>
    </row>
    <row r="27" spans="1:12" x14ac:dyDescent="0.3">
      <c r="A27">
        <v>1026</v>
      </c>
      <c r="B27" t="s">
        <v>158</v>
      </c>
      <c r="C27" t="s">
        <v>64</v>
      </c>
      <c r="D27" t="s">
        <v>30</v>
      </c>
      <c r="E27" t="s">
        <v>40</v>
      </c>
      <c r="F27" t="s">
        <v>32</v>
      </c>
      <c r="G27" t="s">
        <v>33</v>
      </c>
      <c r="H27">
        <v>100000</v>
      </c>
      <c r="I27">
        <f>70-136-2121</f>
        <v>-2187</v>
      </c>
      <c r="J27" t="s">
        <v>159</v>
      </c>
      <c r="K27" t="s">
        <v>61</v>
      </c>
      <c r="L27" t="s">
        <v>62</v>
      </c>
    </row>
    <row r="28" spans="1:12" x14ac:dyDescent="0.3">
      <c r="A28">
        <v>1027</v>
      </c>
      <c r="B28" t="s">
        <v>160</v>
      </c>
      <c r="C28" t="s">
        <v>29</v>
      </c>
      <c r="D28" t="s">
        <v>45</v>
      </c>
      <c r="E28" t="s">
        <v>57</v>
      </c>
      <c r="F28" t="s">
        <v>161</v>
      </c>
      <c r="G28" t="s">
        <v>162</v>
      </c>
      <c r="H28">
        <v>25000</v>
      </c>
      <c r="I28">
        <f>96-192-8110</f>
        <v>-8206</v>
      </c>
      <c r="J28" t="s">
        <v>163</v>
      </c>
      <c r="K28" t="s">
        <v>164</v>
      </c>
      <c r="L28" t="s">
        <v>74</v>
      </c>
    </row>
    <row r="29" spans="1:12" x14ac:dyDescent="0.3">
      <c r="A29">
        <v>1028</v>
      </c>
      <c r="B29" t="s">
        <v>165</v>
      </c>
      <c r="C29" t="s">
        <v>64</v>
      </c>
      <c r="D29" t="s">
        <v>56</v>
      </c>
      <c r="E29" t="s">
        <v>80</v>
      </c>
      <c r="F29" t="s">
        <v>166</v>
      </c>
      <c r="G29" t="s">
        <v>167</v>
      </c>
      <c r="H29">
        <v>10000</v>
      </c>
      <c r="I29">
        <f>57-270-5906</f>
        <v>-6119</v>
      </c>
      <c r="J29" t="s">
        <v>168</v>
      </c>
      <c r="K29" t="s">
        <v>169</v>
      </c>
      <c r="L29" t="s">
        <v>50</v>
      </c>
    </row>
    <row r="30" spans="1:12" x14ac:dyDescent="0.3">
      <c r="A30">
        <v>1029</v>
      </c>
      <c r="B30" t="s">
        <v>170</v>
      </c>
      <c r="C30" t="s">
        <v>38</v>
      </c>
      <c r="D30" t="s">
        <v>65</v>
      </c>
      <c r="E30" t="s">
        <v>31</v>
      </c>
      <c r="F30" t="s">
        <v>171</v>
      </c>
      <c r="G30" t="s">
        <v>172</v>
      </c>
      <c r="H30">
        <v>50000</v>
      </c>
      <c r="I30">
        <f>46-483-8056</f>
        <v>-8493</v>
      </c>
      <c r="J30" t="s">
        <v>173</v>
      </c>
      <c r="K30" t="s">
        <v>174</v>
      </c>
      <c r="L30" t="s">
        <v>74</v>
      </c>
    </row>
    <row r="31" spans="1:12" x14ac:dyDescent="0.3">
      <c r="A31">
        <v>1030</v>
      </c>
      <c r="B31" t="s">
        <v>175</v>
      </c>
      <c r="C31" t="s">
        <v>64</v>
      </c>
      <c r="D31" t="s">
        <v>39</v>
      </c>
      <c r="E31" t="s">
        <v>40</v>
      </c>
      <c r="F31" t="s">
        <v>176</v>
      </c>
      <c r="G31" t="s">
        <v>177</v>
      </c>
      <c r="H31">
        <v>25000</v>
      </c>
      <c r="I31">
        <f>22-279-2293</f>
        <v>-2550</v>
      </c>
      <c r="J31" t="s">
        <v>178</v>
      </c>
      <c r="K31" t="s">
        <v>169</v>
      </c>
      <c r="L31" t="s">
        <v>50</v>
      </c>
    </row>
    <row r="32" spans="1:12" x14ac:dyDescent="0.3">
      <c r="A32">
        <v>1031</v>
      </c>
      <c r="B32" t="s">
        <v>179</v>
      </c>
      <c r="C32" t="s">
        <v>64</v>
      </c>
      <c r="D32" t="s">
        <v>30</v>
      </c>
      <c r="E32" t="s">
        <v>57</v>
      </c>
      <c r="F32" t="s">
        <v>180</v>
      </c>
      <c r="G32" t="s">
        <v>181</v>
      </c>
      <c r="H32">
        <v>25000</v>
      </c>
      <c r="I32">
        <f>64-697-3344</f>
        <v>-3977</v>
      </c>
      <c r="J32" t="s">
        <v>182</v>
      </c>
      <c r="K32" t="s">
        <v>183</v>
      </c>
      <c r="L32" t="s">
        <v>74</v>
      </c>
    </row>
    <row r="33" spans="1:12" x14ac:dyDescent="0.3">
      <c r="A33">
        <v>1032</v>
      </c>
      <c r="B33" t="s">
        <v>184</v>
      </c>
      <c r="C33" t="s">
        <v>29</v>
      </c>
      <c r="D33" t="s">
        <v>45</v>
      </c>
      <c r="E33" t="s">
        <v>80</v>
      </c>
      <c r="F33" t="s">
        <v>185</v>
      </c>
      <c r="G33" t="s">
        <v>186</v>
      </c>
      <c r="H33">
        <v>50000</v>
      </c>
      <c r="I33">
        <f>86-109-8622</f>
        <v>-8645</v>
      </c>
      <c r="J33" t="s">
        <v>187</v>
      </c>
      <c r="K33" t="s">
        <v>148</v>
      </c>
      <c r="L33" t="s">
        <v>98</v>
      </c>
    </row>
    <row r="34" spans="1:12" x14ac:dyDescent="0.3">
      <c r="A34">
        <v>1033</v>
      </c>
      <c r="B34" t="s">
        <v>188</v>
      </c>
      <c r="C34" t="s">
        <v>38</v>
      </c>
      <c r="D34" t="s">
        <v>56</v>
      </c>
      <c r="E34" t="s">
        <v>31</v>
      </c>
      <c r="F34" t="s">
        <v>189</v>
      </c>
      <c r="G34" t="s">
        <v>190</v>
      </c>
      <c r="H34">
        <v>10000</v>
      </c>
      <c r="I34">
        <f>57-453-5901</f>
        <v>-6297</v>
      </c>
      <c r="J34" t="s">
        <v>191</v>
      </c>
      <c r="K34" t="s">
        <v>35</v>
      </c>
      <c r="L34" t="s">
        <v>36</v>
      </c>
    </row>
    <row r="35" spans="1:12" x14ac:dyDescent="0.3">
      <c r="A35">
        <v>1034</v>
      </c>
      <c r="B35" t="s">
        <v>192</v>
      </c>
      <c r="C35" t="s">
        <v>29</v>
      </c>
      <c r="D35" t="s">
        <v>65</v>
      </c>
      <c r="E35" t="s">
        <v>40</v>
      </c>
      <c r="F35" t="s">
        <v>193</v>
      </c>
      <c r="G35" t="s">
        <v>194</v>
      </c>
      <c r="H35">
        <v>100000</v>
      </c>
      <c r="I35">
        <f>39-303-7302</f>
        <v>-7566</v>
      </c>
      <c r="J35" t="s">
        <v>195</v>
      </c>
      <c r="K35" t="s">
        <v>49</v>
      </c>
      <c r="L35" t="s">
        <v>50</v>
      </c>
    </row>
    <row r="36" spans="1:12" x14ac:dyDescent="0.3">
      <c r="A36">
        <v>1035</v>
      </c>
      <c r="B36" t="s">
        <v>196</v>
      </c>
      <c r="C36" t="s">
        <v>29</v>
      </c>
      <c r="D36" t="s">
        <v>39</v>
      </c>
      <c r="E36" t="s">
        <v>57</v>
      </c>
      <c r="F36" t="s">
        <v>197</v>
      </c>
      <c r="G36" t="s">
        <v>198</v>
      </c>
      <c r="H36">
        <v>250000</v>
      </c>
      <c r="I36">
        <f>46-688-5847</f>
        <v>-6489</v>
      </c>
      <c r="J36" t="s">
        <v>199</v>
      </c>
      <c r="K36" t="s">
        <v>89</v>
      </c>
      <c r="L36" t="s">
        <v>50</v>
      </c>
    </row>
    <row r="37" spans="1:12" x14ac:dyDescent="0.3">
      <c r="A37">
        <v>1036</v>
      </c>
      <c r="B37" t="s">
        <v>200</v>
      </c>
      <c r="C37" t="s">
        <v>64</v>
      </c>
      <c r="D37" t="s">
        <v>30</v>
      </c>
      <c r="E37" t="s">
        <v>80</v>
      </c>
      <c r="F37" t="s">
        <v>201</v>
      </c>
      <c r="G37" t="s">
        <v>202</v>
      </c>
      <c r="H37">
        <v>100000</v>
      </c>
      <c r="I37">
        <f>36-108-1803</f>
        <v>-1875</v>
      </c>
      <c r="J37" t="s">
        <v>203</v>
      </c>
      <c r="K37" t="s">
        <v>183</v>
      </c>
      <c r="L37" t="s">
        <v>74</v>
      </c>
    </row>
    <row r="38" spans="1:12" x14ac:dyDescent="0.3">
      <c r="A38">
        <v>1037</v>
      </c>
      <c r="B38" t="s">
        <v>204</v>
      </c>
      <c r="C38" t="s">
        <v>29</v>
      </c>
      <c r="D38" t="s">
        <v>45</v>
      </c>
      <c r="E38" t="s">
        <v>31</v>
      </c>
      <c r="F38" t="s">
        <v>205</v>
      </c>
      <c r="G38" t="s">
        <v>206</v>
      </c>
      <c r="H38">
        <v>25000</v>
      </c>
      <c r="I38">
        <f>78-921-6772</f>
        <v>-7615</v>
      </c>
      <c r="J38" t="s">
        <v>207</v>
      </c>
      <c r="K38" t="s">
        <v>125</v>
      </c>
      <c r="L38" t="s">
        <v>62</v>
      </c>
    </row>
    <row r="39" spans="1:12" x14ac:dyDescent="0.3">
      <c r="A39">
        <v>1038</v>
      </c>
      <c r="B39" t="s">
        <v>208</v>
      </c>
      <c r="C39" t="s">
        <v>29</v>
      </c>
      <c r="D39" t="s">
        <v>56</v>
      </c>
      <c r="E39" t="s">
        <v>40</v>
      </c>
      <c r="F39" t="s">
        <v>209</v>
      </c>
      <c r="G39" t="s">
        <v>210</v>
      </c>
      <c r="H39">
        <v>25000</v>
      </c>
      <c r="I39">
        <f>81-199-1645</f>
        <v>-1763</v>
      </c>
      <c r="J39" t="s">
        <v>211</v>
      </c>
      <c r="K39" t="s">
        <v>148</v>
      </c>
      <c r="L39" t="s">
        <v>98</v>
      </c>
    </row>
    <row r="40" spans="1:12" x14ac:dyDescent="0.3">
      <c r="A40">
        <v>1039</v>
      </c>
      <c r="B40" t="s">
        <v>212</v>
      </c>
      <c r="C40" t="s">
        <v>64</v>
      </c>
      <c r="D40" t="s">
        <v>65</v>
      </c>
      <c r="E40" t="s">
        <v>57</v>
      </c>
      <c r="F40" t="s">
        <v>213</v>
      </c>
      <c r="G40" t="s">
        <v>214</v>
      </c>
      <c r="H40">
        <v>50000</v>
      </c>
      <c r="I40">
        <f>94-234-2476</f>
        <v>-2616</v>
      </c>
      <c r="J40" t="s">
        <v>215</v>
      </c>
      <c r="K40" t="s">
        <v>174</v>
      </c>
      <c r="L40" t="s">
        <v>74</v>
      </c>
    </row>
    <row r="41" spans="1:12" x14ac:dyDescent="0.3">
      <c r="A41">
        <v>1040</v>
      </c>
      <c r="B41" t="s">
        <v>216</v>
      </c>
      <c r="C41" t="s">
        <v>29</v>
      </c>
      <c r="D41" t="s">
        <v>39</v>
      </c>
      <c r="E41" t="s">
        <v>80</v>
      </c>
      <c r="F41" t="s">
        <v>217</v>
      </c>
      <c r="G41" t="s">
        <v>218</v>
      </c>
      <c r="H41">
        <v>25000</v>
      </c>
      <c r="I41">
        <f>26-235-9837</f>
        <v>-10046</v>
      </c>
      <c r="J41" t="s">
        <v>219</v>
      </c>
      <c r="K41" t="s">
        <v>148</v>
      </c>
      <c r="L41" t="s">
        <v>98</v>
      </c>
    </row>
    <row r="42" spans="1:12" x14ac:dyDescent="0.3">
      <c r="A42">
        <v>1041</v>
      </c>
      <c r="B42" t="s">
        <v>220</v>
      </c>
      <c r="C42" t="s">
        <v>64</v>
      </c>
      <c r="D42" t="s">
        <v>30</v>
      </c>
      <c r="E42" t="s">
        <v>31</v>
      </c>
      <c r="F42" t="s">
        <v>221</v>
      </c>
      <c r="G42" t="s">
        <v>222</v>
      </c>
      <c r="H42">
        <v>50000</v>
      </c>
      <c r="I42">
        <f>22-363-8894</f>
        <v>-9235</v>
      </c>
      <c r="J42" t="s">
        <v>223</v>
      </c>
      <c r="K42" t="s">
        <v>73</v>
      </c>
      <c r="L42" t="s">
        <v>74</v>
      </c>
    </row>
    <row r="43" spans="1:12" x14ac:dyDescent="0.3">
      <c r="A43">
        <v>1042</v>
      </c>
      <c r="B43" t="s">
        <v>224</v>
      </c>
      <c r="C43" t="s">
        <v>29</v>
      </c>
      <c r="D43" t="s">
        <v>45</v>
      </c>
      <c r="E43" t="s">
        <v>40</v>
      </c>
      <c r="F43" t="s">
        <v>225</v>
      </c>
      <c r="G43" t="s">
        <v>226</v>
      </c>
      <c r="H43">
        <v>10000</v>
      </c>
      <c r="I43">
        <f>60-177-3306</f>
        <v>-3423</v>
      </c>
      <c r="J43" t="s">
        <v>227</v>
      </c>
      <c r="K43" t="s">
        <v>135</v>
      </c>
      <c r="L43" t="s">
        <v>98</v>
      </c>
    </row>
    <row r="44" spans="1:12" x14ac:dyDescent="0.3">
      <c r="A44">
        <v>1043</v>
      </c>
      <c r="B44" t="s">
        <v>228</v>
      </c>
      <c r="C44" t="s">
        <v>64</v>
      </c>
      <c r="D44" t="s">
        <v>56</v>
      </c>
      <c r="E44" t="s">
        <v>57</v>
      </c>
      <c r="F44" t="s">
        <v>229</v>
      </c>
      <c r="G44" t="s">
        <v>230</v>
      </c>
      <c r="H44">
        <v>100000</v>
      </c>
      <c r="I44">
        <f>72-474-2479</f>
        <v>-2881</v>
      </c>
      <c r="J44" t="s">
        <v>231</v>
      </c>
      <c r="K44" t="s">
        <v>153</v>
      </c>
      <c r="L44" t="s">
        <v>98</v>
      </c>
    </row>
    <row r="45" spans="1:12" x14ac:dyDescent="0.3">
      <c r="A45">
        <v>1044</v>
      </c>
      <c r="B45" t="s">
        <v>232</v>
      </c>
      <c r="C45" t="s">
        <v>64</v>
      </c>
      <c r="D45" t="s">
        <v>65</v>
      </c>
      <c r="E45" t="s">
        <v>80</v>
      </c>
      <c r="F45" t="s">
        <v>233</v>
      </c>
      <c r="G45" t="s">
        <v>234</v>
      </c>
      <c r="H45">
        <v>10000</v>
      </c>
      <c r="I45">
        <f>59-477-5295</f>
        <v>-5713</v>
      </c>
      <c r="J45" t="s">
        <v>235</v>
      </c>
      <c r="K45" t="s">
        <v>115</v>
      </c>
      <c r="L45" t="s">
        <v>50</v>
      </c>
    </row>
    <row r="46" spans="1:12" x14ac:dyDescent="0.3">
      <c r="A46">
        <v>1045</v>
      </c>
      <c r="B46" t="s">
        <v>236</v>
      </c>
      <c r="C46" t="s">
        <v>29</v>
      </c>
      <c r="D46" t="s">
        <v>39</v>
      </c>
      <c r="E46" t="s">
        <v>31</v>
      </c>
      <c r="F46" t="s">
        <v>237</v>
      </c>
      <c r="G46" t="s">
        <v>238</v>
      </c>
      <c r="H46">
        <v>10000</v>
      </c>
      <c r="I46">
        <f>87-339-8724</f>
        <v>-8976</v>
      </c>
      <c r="J46" t="s">
        <v>239</v>
      </c>
      <c r="K46" t="s">
        <v>125</v>
      </c>
      <c r="L46" t="s">
        <v>62</v>
      </c>
    </row>
    <row r="47" spans="1:12" x14ac:dyDescent="0.3">
      <c r="A47">
        <v>1046</v>
      </c>
      <c r="B47" t="s">
        <v>240</v>
      </c>
      <c r="C47" t="s">
        <v>64</v>
      </c>
      <c r="D47" t="s">
        <v>30</v>
      </c>
      <c r="E47" t="s">
        <v>40</v>
      </c>
      <c r="F47" t="s">
        <v>241</v>
      </c>
      <c r="G47" t="s">
        <v>242</v>
      </c>
      <c r="H47">
        <v>50000</v>
      </c>
      <c r="I47">
        <f>79-326-2035</f>
        <v>-2282</v>
      </c>
      <c r="J47" t="s">
        <v>243</v>
      </c>
      <c r="K47" t="s">
        <v>120</v>
      </c>
      <c r="L47" t="s">
        <v>62</v>
      </c>
    </row>
    <row r="48" spans="1:12" x14ac:dyDescent="0.3">
      <c r="A48">
        <v>1047</v>
      </c>
      <c r="B48" t="s">
        <v>244</v>
      </c>
      <c r="C48" t="s">
        <v>64</v>
      </c>
      <c r="D48" t="s">
        <v>45</v>
      </c>
      <c r="E48" t="s">
        <v>57</v>
      </c>
      <c r="F48" t="s">
        <v>205</v>
      </c>
      <c r="G48" t="s">
        <v>206</v>
      </c>
      <c r="H48">
        <v>50000</v>
      </c>
      <c r="I48">
        <f>84-518-2911</f>
        <v>-3345</v>
      </c>
      <c r="J48" t="s">
        <v>245</v>
      </c>
      <c r="K48" t="s">
        <v>110</v>
      </c>
      <c r="L48" t="s">
        <v>36</v>
      </c>
    </row>
    <row r="49" spans="1:12" x14ac:dyDescent="0.3">
      <c r="A49">
        <v>1048</v>
      </c>
      <c r="B49" t="s">
        <v>246</v>
      </c>
      <c r="C49" t="s">
        <v>29</v>
      </c>
      <c r="D49" t="s">
        <v>56</v>
      </c>
      <c r="E49" t="s">
        <v>80</v>
      </c>
      <c r="F49" t="s">
        <v>247</v>
      </c>
      <c r="G49" t="s">
        <v>248</v>
      </c>
      <c r="H49">
        <v>100000</v>
      </c>
      <c r="I49">
        <f>15-199-4846</f>
        <v>-5030</v>
      </c>
      <c r="J49" t="s">
        <v>249</v>
      </c>
      <c r="K49" t="s">
        <v>153</v>
      </c>
      <c r="L49" t="s">
        <v>98</v>
      </c>
    </row>
    <row r="50" spans="1:12" x14ac:dyDescent="0.3">
      <c r="A50">
        <v>1049</v>
      </c>
      <c r="B50" t="s">
        <v>250</v>
      </c>
      <c r="C50" t="s">
        <v>29</v>
      </c>
      <c r="D50" t="s">
        <v>65</v>
      </c>
      <c r="E50" t="s">
        <v>31</v>
      </c>
      <c r="F50" t="s">
        <v>225</v>
      </c>
      <c r="G50" t="s">
        <v>226</v>
      </c>
      <c r="H50">
        <v>50000</v>
      </c>
      <c r="I50">
        <f>86-860-9850</f>
        <v>-10624</v>
      </c>
      <c r="J50" t="s">
        <v>251</v>
      </c>
      <c r="K50" t="s">
        <v>183</v>
      </c>
      <c r="L50" t="s">
        <v>74</v>
      </c>
    </row>
    <row r="51" spans="1:12" x14ac:dyDescent="0.3">
      <c r="A51">
        <v>1050</v>
      </c>
      <c r="B51" t="s">
        <v>252</v>
      </c>
      <c r="C51" t="s">
        <v>38</v>
      </c>
      <c r="D51" t="s">
        <v>39</v>
      </c>
      <c r="E51" t="s">
        <v>40</v>
      </c>
      <c r="F51" t="s">
        <v>253</v>
      </c>
      <c r="G51" t="s">
        <v>254</v>
      </c>
      <c r="H51">
        <v>100000</v>
      </c>
      <c r="I51">
        <f>84-201-9017</f>
        <v>-9134</v>
      </c>
      <c r="J51" t="s">
        <v>72</v>
      </c>
      <c r="K51" t="s">
        <v>105</v>
      </c>
      <c r="L51" t="s">
        <v>50</v>
      </c>
    </row>
    <row r="52" spans="1:12" x14ac:dyDescent="0.3">
      <c r="A52">
        <v>1051</v>
      </c>
      <c r="B52" t="s">
        <v>255</v>
      </c>
      <c r="C52" t="s">
        <v>29</v>
      </c>
      <c r="D52" t="s">
        <v>30</v>
      </c>
      <c r="E52" t="s">
        <v>57</v>
      </c>
      <c r="F52" t="s">
        <v>256</v>
      </c>
      <c r="G52" t="s">
        <v>257</v>
      </c>
      <c r="H52">
        <v>10000</v>
      </c>
      <c r="I52">
        <f>89-479-4559</f>
        <v>-4949</v>
      </c>
      <c r="J52" t="s">
        <v>258</v>
      </c>
      <c r="K52" t="s">
        <v>73</v>
      </c>
      <c r="L52" t="s">
        <v>74</v>
      </c>
    </row>
    <row r="53" spans="1:12" x14ac:dyDescent="0.3">
      <c r="A53">
        <v>1052</v>
      </c>
      <c r="B53" t="s">
        <v>259</v>
      </c>
      <c r="C53" t="s">
        <v>29</v>
      </c>
      <c r="D53" t="s">
        <v>45</v>
      </c>
      <c r="E53" t="s">
        <v>80</v>
      </c>
      <c r="F53" t="s">
        <v>260</v>
      </c>
      <c r="G53" t="s">
        <v>261</v>
      </c>
      <c r="H53">
        <v>10000</v>
      </c>
      <c r="I53">
        <f>88-476-9920</f>
        <v>-10308</v>
      </c>
      <c r="J53" t="s">
        <v>262</v>
      </c>
      <c r="K53" t="s">
        <v>49</v>
      </c>
      <c r="L53" t="s">
        <v>50</v>
      </c>
    </row>
    <row r="54" spans="1:12" x14ac:dyDescent="0.3">
      <c r="A54">
        <v>1053</v>
      </c>
      <c r="B54" t="s">
        <v>263</v>
      </c>
      <c r="C54" t="s">
        <v>38</v>
      </c>
      <c r="D54" t="s">
        <v>56</v>
      </c>
      <c r="E54" t="s">
        <v>31</v>
      </c>
      <c r="F54" t="s">
        <v>39</v>
      </c>
      <c r="G54" t="s">
        <v>264</v>
      </c>
      <c r="H54">
        <v>100000</v>
      </c>
      <c r="I54">
        <f>36-294-3001</f>
        <v>-3259</v>
      </c>
      <c r="J54" t="s">
        <v>265</v>
      </c>
      <c r="K54" t="s">
        <v>49</v>
      </c>
      <c r="L54" t="s">
        <v>50</v>
      </c>
    </row>
    <row r="55" spans="1:12" x14ac:dyDescent="0.3">
      <c r="A55">
        <v>1054</v>
      </c>
      <c r="B55" t="s">
        <v>266</v>
      </c>
      <c r="C55" t="s">
        <v>38</v>
      </c>
      <c r="D55" t="s">
        <v>65</v>
      </c>
      <c r="E55" t="s">
        <v>40</v>
      </c>
      <c r="F55" t="s">
        <v>267</v>
      </c>
      <c r="G55" t="s">
        <v>268</v>
      </c>
      <c r="H55">
        <v>25000</v>
      </c>
      <c r="I55">
        <f>83-754-1349</f>
        <v>-2020</v>
      </c>
      <c r="J55" t="s">
        <v>269</v>
      </c>
      <c r="K55" t="s">
        <v>130</v>
      </c>
      <c r="L55" t="s">
        <v>36</v>
      </c>
    </row>
    <row r="56" spans="1:12" x14ac:dyDescent="0.3">
      <c r="A56">
        <v>1055</v>
      </c>
      <c r="B56" t="s">
        <v>270</v>
      </c>
      <c r="C56" t="s">
        <v>38</v>
      </c>
      <c r="D56" t="s">
        <v>39</v>
      </c>
      <c r="E56" t="s">
        <v>57</v>
      </c>
      <c r="F56" t="s">
        <v>247</v>
      </c>
      <c r="G56" t="s">
        <v>248</v>
      </c>
      <c r="H56">
        <v>250000</v>
      </c>
      <c r="I56">
        <f>27-170-4394</f>
        <v>-4537</v>
      </c>
      <c r="J56" t="s">
        <v>271</v>
      </c>
      <c r="K56" t="s">
        <v>35</v>
      </c>
      <c r="L56" t="s">
        <v>36</v>
      </c>
    </row>
    <row r="57" spans="1:12" x14ac:dyDescent="0.3">
      <c r="A57">
        <v>1056</v>
      </c>
      <c r="B57" t="s">
        <v>272</v>
      </c>
      <c r="C57" t="s">
        <v>38</v>
      </c>
      <c r="D57" t="s">
        <v>30</v>
      </c>
      <c r="E57" t="s">
        <v>80</v>
      </c>
      <c r="F57" t="s">
        <v>273</v>
      </c>
      <c r="G57" t="s">
        <v>274</v>
      </c>
      <c r="H57">
        <v>50000</v>
      </c>
      <c r="I57">
        <f>19-907-1046</f>
        <v>-1934</v>
      </c>
      <c r="J57" t="s">
        <v>275</v>
      </c>
      <c r="K57" t="s">
        <v>115</v>
      </c>
      <c r="L57" t="s">
        <v>50</v>
      </c>
    </row>
    <row r="58" spans="1:12" x14ac:dyDescent="0.3">
      <c r="A58">
        <v>1057</v>
      </c>
      <c r="B58" t="s">
        <v>276</v>
      </c>
      <c r="C58" t="s">
        <v>38</v>
      </c>
      <c r="D58" t="s">
        <v>45</v>
      </c>
      <c r="E58" t="s">
        <v>31</v>
      </c>
      <c r="F58" t="s">
        <v>277</v>
      </c>
      <c r="G58" t="s">
        <v>278</v>
      </c>
      <c r="H58">
        <v>250000</v>
      </c>
      <c r="I58">
        <f>33-917-3858</f>
        <v>-4742</v>
      </c>
      <c r="J58" t="s">
        <v>279</v>
      </c>
      <c r="K58" t="s">
        <v>120</v>
      </c>
      <c r="L58" t="s">
        <v>62</v>
      </c>
    </row>
    <row r="59" spans="1:12" x14ac:dyDescent="0.3">
      <c r="A59">
        <v>1058</v>
      </c>
      <c r="B59" t="s">
        <v>280</v>
      </c>
      <c r="C59" t="s">
        <v>38</v>
      </c>
      <c r="D59" t="s">
        <v>56</v>
      </c>
      <c r="E59" t="s">
        <v>40</v>
      </c>
      <c r="F59" t="s">
        <v>281</v>
      </c>
      <c r="G59" t="s">
        <v>282</v>
      </c>
      <c r="H59">
        <v>10000</v>
      </c>
      <c r="I59">
        <f>46-908-4898</f>
        <v>-5760</v>
      </c>
      <c r="J59" t="s">
        <v>283</v>
      </c>
      <c r="K59" t="s">
        <v>73</v>
      </c>
      <c r="L59" t="s">
        <v>74</v>
      </c>
    </row>
    <row r="60" spans="1:12" x14ac:dyDescent="0.3">
      <c r="A60">
        <v>1059</v>
      </c>
      <c r="B60" t="s">
        <v>284</v>
      </c>
      <c r="C60" t="s">
        <v>29</v>
      </c>
      <c r="D60" t="s">
        <v>65</v>
      </c>
      <c r="E60" t="s">
        <v>57</v>
      </c>
      <c r="F60" t="s">
        <v>285</v>
      </c>
      <c r="G60" t="s">
        <v>286</v>
      </c>
      <c r="H60">
        <v>10000</v>
      </c>
      <c r="I60">
        <f>17-859-7897</f>
        <v>-8739</v>
      </c>
      <c r="J60" t="s">
        <v>287</v>
      </c>
      <c r="K60" t="s">
        <v>89</v>
      </c>
      <c r="L60" t="s">
        <v>50</v>
      </c>
    </row>
    <row r="61" spans="1:12" x14ac:dyDescent="0.3">
      <c r="A61">
        <v>1060</v>
      </c>
      <c r="B61" t="s">
        <v>288</v>
      </c>
      <c r="C61" t="s">
        <v>29</v>
      </c>
      <c r="D61" t="s">
        <v>39</v>
      </c>
      <c r="E61" t="s">
        <v>80</v>
      </c>
      <c r="F61" t="s">
        <v>289</v>
      </c>
      <c r="G61" t="s">
        <v>290</v>
      </c>
      <c r="H61">
        <v>100000</v>
      </c>
      <c r="I61">
        <f>47-625-2786</f>
        <v>-3364</v>
      </c>
      <c r="J61" t="s">
        <v>291</v>
      </c>
      <c r="K61" t="s">
        <v>148</v>
      </c>
      <c r="L61" t="s">
        <v>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BB3AEF-1175-4293-A5D3-0ACC0D2CFCAC}">
  <sheetPr codeName="Sheet4"/>
  <dimension ref="A1:C731"/>
  <sheetViews>
    <sheetView workbookViewId="0">
      <selection activeCell="C1" sqref="C1:C1048576"/>
    </sheetView>
  </sheetViews>
  <sheetFormatPr defaultRowHeight="14.4" x14ac:dyDescent="0.3"/>
  <cols>
    <col min="1" max="1" width="10.33203125" style="1" bestFit="1" customWidth="1"/>
    <col min="2" max="2" width="7.5546875" style="2" bestFit="1" customWidth="1"/>
    <col min="3" max="3" width="6.109375" style="2" bestFit="1" customWidth="1"/>
  </cols>
  <sheetData>
    <row r="1" spans="1:3" x14ac:dyDescent="0.3">
      <c r="A1" s="1" t="s">
        <v>292</v>
      </c>
      <c r="B1" s="2" t="s">
        <v>293</v>
      </c>
      <c r="C1" s="2" t="s">
        <v>294</v>
      </c>
    </row>
    <row r="2" spans="1:3" x14ac:dyDescent="0.3">
      <c r="A2" s="1">
        <v>45658</v>
      </c>
      <c r="B2" s="2">
        <v>2025</v>
      </c>
      <c r="C2" s="2">
        <v>1</v>
      </c>
    </row>
    <row r="3" spans="1:3" x14ac:dyDescent="0.3">
      <c r="A3" s="1">
        <v>45659</v>
      </c>
      <c r="B3" s="2">
        <v>2025</v>
      </c>
      <c r="C3" s="2">
        <v>1</v>
      </c>
    </row>
    <row r="4" spans="1:3" x14ac:dyDescent="0.3">
      <c r="A4" s="1">
        <v>45660</v>
      </c>
      <c r="B4" s="2">
        <v>2025</v>
      </c>
      <c r="C4" s="2">
        <v>1</v>
      </c>
    </row>
    <row r="5" spans="1:3" x14ac:dyDescent="0.3">
      <c r="A5" s="1">
        <v>45661</v>
      </c>
      <c r="B5" s="2">
        <v>2025</v>
      </c>
      <c r="C5" s="2">
        <v>1</v>
      </c>
    </row>
    <row r="6" spans="1:3" x14ac:dyDescent="0.3">
      <c r="A6" s="1">
        <v>45662</v>
      </c>
      <c r="B6" s="2">
        <v>2025</v>
      </c>
      <c r="C6" s="2">
        <v>1</v>
      </c>
    </row>
    <row r="7" spans="1:3" x14ac:dyDescent="0.3">
      <c r="A7" s="1">
        <v>45663</v>
      </c>
      <c r="B7" s="2">
        <v>2025</v>
      </c>
      <c r="C7" s="2">
        <v>1</v>
      </c>
    </row>
    <row r="8" spans="1:3" x14ac:dyDescent="0.3">
      <c r="A8" s="1">
        <v>45664</v>
      </c>
      <c r="B8" s="2">
        <v>2025</v>
      </c>
      <c r="C8" s="2">
        <v>1</v>
      </c>
    </row>
    <row r="9" spans="1:3" x14ac:dyDescent="0.3">
      <c r="A9" s="1">
        <v>45665</v>
      </c>
      <c r="B9" s="2">
        <v>2025</v>
      </c>
      <c r="C9" s="2">
        <v>1</v>
      </c>
    </row>
    <row r="10" spans="1:3" x14ac:dyDescent="0.3">
      <c r="A10" s="1">
        <v>45666</v>
      </c>
      <c r="B10" s="2">
        <v>2025</v>
      </c>
      <c r="C10" s="2">
        <v>1</v>
      </c>
    </row>
    <row r="11" spans="1:3" x14ac:dyDescent="0.3">
      <c r="A11" s="1">
        <v>45667</v>
      </c>
      <c r="B11" s="2">
        <v>2025</v>
      </c>
      <c r="C11" s="2">
        <v>1</v>
      </c>
    </row>
    <row r="12" spans="1:3" x14ac:dyDescent="0.3">
      <c r="A12" s="1">
        <v>45668</v>
      </c>
      <c r="B12" s="2">
        <v>2025</v>
      </c>
      <c r="C12" s="2">
        <v>1</v>
      </c>
    </row>
    <row r="13" spans="1:3" x14ac:dyDescent="0.3">
      <c r="A13" s="1">
        <v>45669</v>
      </c>
      <c r="B13" s="2">
        <v>2025</v>
      </c>
      <c r="C13" s="2">
        <v>1</v>
      </c>
    </row>
    <row r="14" spans="1:3" x14ac:dyDescent="0.3">
      <c r="A14" s="1">
        <v>45670</v>
      </c>
      <c r="B14" s="2">
        <v>2025</v>
      </c>
      <c r="C14" s="2">
        <v>1</v>
      </c>
    </row>
    <row r="15" spans="1:3" x14ac:dyDescent="0.3">
      <c r="A15" s="1">
        <v>45671</v>
      </c>
      <c r="B15" s="2">
        <v>2025</v>
      </c>
      <c r="C15" s="2">
        <v>1</v>
      </c>
    </row>
    <row r="16" spans="1:3" x14ac:dyDescent="0.3">
      <c r="A16" s="1">
        <v>45672</v>
      </c>
      <c r="B16" s="2">
        <v>2025</v>
      </c>
      <c r="C16" s="2">
        <v>1</v>
      </c>
    </row>
    <row r="17" spans="1:3" x14ac:dyDescent="0.3">
      <c r="A17" s="1">
        <v>45673</v>
      </c>
      <c r="B17" s="2">
        <v>2025</v>
      </c>
      <c r="C17" s="2">
        <v>1</v>
      </c>
    </row>
    <row r="18" spans="1:3" x14ac:dyDescent="0.3">
      <c r="A18" s="1">
        <v>45674</v>
      </c>
      <c r="B18" s="2">
        <v>2025</v>
      </c>
      <c r="C18" s="2">
        <v>1</v>
      </c>
    </row>
    <row r="19" spans="1:3" x14ac:dyDescent="0.3">
      <c r="A19" s="1">
        <v>45675</v>
      </c>
      <c r="B19" s="2">
        <v>2025</v>
      </c>
      <c r="C19" s="2">
        <v>1</v>
      </c>
    </row>
    <row r="20" spans="1:3" x14ac:dyDescent="0.3">
      <c r="A20" s="1">
        <v>45676</v>
      </c>
      <c r="B20" s="2">
        <v>2025</v>
      </c>
      <c r="C20" s="2">
        <v>1</v>
      </c>
    </row>
    <row r="21" spans="1:3" x14ac:dyDescent="0.3">
      <c r="A21" s="1">
        <v>45677</v>
      </c>
      <c r="B21" s="2">
        <v>2025</v>
      </c>
      <c r="C21" s="2">
        <v>1</v>
      </c>
    </row>
    <row r="22" spans="1:3" x14ac:dyDescent="0.3">
      <c r="A22" s="1">
        <v>45678</v>
      </c>
      <c r="B22" s="2">
        <v>2025</v>
      </c>
      <c r="C22" s="2">
        <v>1</v>
      </c>
    </row>
    <row r="23" spans="1:3" x14ac:dyDescent="0.3">
      <c r="A23" s="1">
        <v>45679</v>
      </c>
      <c r="B23" s="2">
        <v>2025</v>
      </c>
      <c r="C23" s="2">
        <v>1</v>
      </c>
    </row>
    <row r="24" spans="1:3" x14ac:dyDescent="0.3">
      <c r="A24" s="1">
        <v>45680</v>
      </c>
      <c r="B24" s="2">
        <v>2025</v>
      </c>
      <c r="C24" s="2">
        <v>1</v>
      </c>
    </row>
    <row r="25" spans="1:3" x14ac:dyDescent="0.3">
      <c r="A25" s="1">
        <v>45681</v>
      </c>
      <c r="B25" s="2">
        <v>2025</v>
      </c>
      <c r="C25" s="2">
        <v>1</v>
      </c>
    </row>
    <row r="26" spans="1:3" x14ac:dyDescent="0.3">
      <c r="A26" s="1">
        <v>45682</v>
      </c>
      <c r="B26" s="2">
        <v>2025</v>
      </c>
      <c r="C26" s="2">
        <v>1</v>
      </c>
    </row>
    <row r="27" spans="1:3" x14ac:dyDescent="0.3">
      <c r="A27" s="1">
        <v>45683</v>
      </c>
      <c r="B27" s="2">
        <v>2025</v>
      </c>
      <c r="C27" s="2">
        <v>1</v>
      </c>
    </row>
    <row r="28" spans="1:3" x14ac:dyDescent="0.3">
      <c r="A28" s="1">
        <v>45684</v>
      </c>
      <c r="B28" s="2">
        <v>2025</v>
      </c>
      <c r="C28" s="2">
        <v>1</v>
      </c>
    </row>
    <row r="29" spans="1:3" x14ac:dyDescent="0.3">
      <c r="A29" s="1">
        <v>45685</v>
      </c>
      <c r="B29" s="2">
        <v>2025</v>
      </c>
      <c r="C29" s="2">
        <v>1</v>
      </c>
    </row>
    <row r="30" spans="1:3" x14ac:dyDescent="0.3">
      <c r="A30" s="1">
        <v>45686</v>
      </c>
      <c r="B30" s="2">
        <v>2025</v>
      </c>
      <c r="C30" s="2">
        <v>1</v>
      </c>
    </row>
    <row r="31" spans="1:3" x14ac:dyDescent="0.3">
      <c r="A31" s="1">
        <v>45687</v>
      </c>
      <c r="B31" s="2">
        <v>2025</v>
      </c>
      <c r="C31" s="2">
        <v>1</v>
      </c>
    </row>
    <row r="32" spans="1:3" x14ac:dyDescent="0.3">
      <c r="A32" s="1">
        <v>45688</v>
      </c>
      <c r="B32" s="2">
        <v>2025</v>
      </c>
      <c r="C32" s="2">
        <v>1</v>
      </c>
    </row>
    <row r="33" spans="1:3" x14ac:dyDescent="0.3">
      <c r="A33" s="1">
        <v>45689</v>
      </c>
      <c r="B33" s="2">
        <v>2025</v>
      </c>
      <c r="C33" s="2">
        <v>2</v>
      </c>
    </row>
    <row r="34" spans="1:3" x14ac:dyDescent="0.3">
      <c r="A34" s="1">
        <v>45690</v>
      </c>
      <c r="B34" s="2">
        <v>2025</v>
      </c>
      <c r="C34" s="2">
        <v>2</v>
      </c>
    </row>
    <row r="35" spans="1:3" x14ac:dyDescent="0.3">
      <c r="A35" s="1">
        <v>45691</v>
      </c>
      <c r="B35" s="2">
        <v>2025</v>
      </c>
      <c r="C35" s="2">
        <v>2</v>
      </c>
    </row>
    <row r="36" spans="1:3" x14ac:dyDescent="0.3">
      <c r="A36" s="1">
        <v>45692</v>
      </c>
      <c r="B36" s="2">
        <v>2025</v>
      </c>
      <c r="C36" s="2">
        <v>2</v>
      </c>
    </row>
    <row r="37" spans="1:3" x14ac:dyDescent="0.3">
      <c r="A37" s="1">
        <v>45693</v>
      </c>
      <c r="B37" s="2">
        <v>2025</v>
      </c>
      <c r="C37" s="2">
        <v>2</v>
      </c>
    </row>
    <row r="38" spans="1:3" x14ac:dyDescent="0.3">
      <c r="A38" s="1">
        <v>45694</v>
      </c>
      <c r="B38" s="2">
        <v>2025</v>
      </c>
      <c r="C38" s="2">
        <v>2</v>
      </c>
    </row>
    <row r="39" spans="1:3" x14ac:dyDescent="0.3">
      <c r="A39" s="1">
        <v>45695</v>
      </c>
      <c r="B39" s="2">
        <v>2025</v>
      </c>
      <c r="C39" s="2">
        <v>2</v>
      </c>
    </row>
    <row r="40" spans="1:3" x14ac:dyDescent="0.3">
      <c r="A40" s="1">
        <v>45696</v>
      </c>
      <c r="B40" s="2">
        <v>2025</v>
      </c>
      <c r="C40" s="2">
        <v>2</v>
      </c>
    </row>
    <row r="41" spans="1:3" x14ac:dyDescent="0.3">
      <c r="A41" s="1">
        <v>45697</v>
      </c>
      <c r="B41" s="2">
        <v>2025</v>
      </c>
      <c r="C41" s="2">
        <v>2</v>
      </c>
    </row>
    <row r="42" spans="1:3" x14ac:dyDescent="0.3">
      <c r="A42" s="1">
        <v>45698</v>
      </c>
      <c r="B42" s="2">
        <v>2025</v>
      </c>
      <c r="C42" s="2">
        <v>2</v>
      </c>
    </row>
    <row r="43" spans="1:3" x14ac:dyDescent="0.3">
      <c r="A43" s="1">
        <v>45699</v>
      </c>
      <c r="B43" s="2">
        <v>2025</v>
      </c>
      <c r="C43" s="2">
        <v>2</v>
      </c>
    </row>
    <row r="44" spans="1:3" x14ac:dyDescent="0.3">
      <c r="A44" s="1">
        <v>45700</v>
      </c>
      <c r="B44" s="2">
        <v>2025</v>
      </c>
      <c r="C44" s="2">
        <v>2</v>
      </c>
    </row>
    <row r="45" spans="1:3" x14ac:dyDescent="0.3">
      <c r="A45" s="1">
        <v>45701</v>
      </c>
      <c r="B45" s="2">
        <v>2025</v>
      </c>
      <c r="C45" s="2">
        <v>2</v>
      </c>
    </row>
    <row r="46" spans="1:3" x14ac:dyDescent="0.3">
      <c r="A46" s="1">
        <v>45702</v>
      </c>
      <c r="B46" s="2">
        <v>2025</v>
      </c>
      <c r="C46" s="2">
        <v>2</v>
      </c>
    </row>
    <row r="47" spans="1:3" x14ac:dyDescent="0.3">
      <c r="A47" s="1">
        <v>45703</v>
      </c>
      <c r="B47" s="2">
        <v>2025</v>
      </c>
      <c r="C47" s="2">
        <v>2</v>
      </c>
    </row>
    <row r="48" spans="1:3" x14ac:dyDescent="0.3">
      <c r="A48" s="1">
        <v>45704</v>
      </c>
      <c r="B48" s="2">
        <v>2025</v>
      </c>
      <c r="C48" s="2">
        <v>2</v>
      </c>
    </row>
    <row r="49" spans="1:3" x14ac:dyDescent="0.3">
      <c r="A49" s="1">
        <v>45705</v>
      </c>
      <c r="B49" s="2">
        <v>2025</v>
      </c>
      <c r="C49" s="2">
        <v>2</v>
      </c>
    </row>
    <row r="50" spans="1:3" x14ac:dyDescent="0.3">
      <c r="A50" s="1">
        <v>45706</v>
      </c>
      <c r="B50" s="2">
        <v>2025</v>
      </c>
      <c r="C50" s="2">
        <v>2</v>
      </c>
    </row>
    <row r="51" spans="1:3" x14ac:dyDescent="0.3">
      <c r="A51" s="1">
        <v>45707</v>
      </c>
      <c r="B51" s="2">
        <v>2025</v>
      </c>
      <c r="C51" s="2">
        <v>2</v>
      </c>
    </row>
    <row r="52" spans="1:3" x14ac:dyDescent="0.3">
      <c r="A52" s="1">
        <v>45708</v>
      </c>
      <c r="B52" s="2">
        <v>2025</v>
      </c>
      <c r="C52" s="2">
        <v>2</v>
      </c>
    </row>
    <row r="53" spans="1:3" x14ac:dyDescent="0.3">
      <c r="A53" s="1">
        <v>45709</v>
      </c>
      <c r="B53" s="2">
        <v>2025</v>
      </c>
      <c r="C53" s="2">
        <v>2</v>
      </c>
    </row>
    <row r="54" spans="1:3" x14ac:dyDescent="0.3">
      <c r="A54" s="1">
        <v>45710</v>
      </c>
      <c r="B54" s="2">
        <v>2025</v>
      </c>
      <c r="C54" s="2">
        <v>2</v>
      </c>
    </row>
    <row r="55" spans="1:3" x14ac:dyDescent="0.3">
      <c r="A55" s="1">
        <v>45711</v>
      </c>
      <c r="B55" s="2">
        <v>2025</v>
      </c>
      <c r="C55" s="2">
        <v>2</v>
      </c>
    </row>
    <row r="56" spans="1:3" x14ac:dyDescent="0.3">
      <c r="A56" s="1">
        <v>45712</v>
      </c>
      <c r="B56" s="2">
        <v>2025</v>
      </c>
      <c r="C56" s="2">
        <v>2</v>
      </c>
    </row>
    <row r="57" spans="1:3" x14ac:dyDescent="0.3">
      <c r="A57" s="1">
        <v>45713</v>
      </c>
      <c r="B57" s="2">
        <v>2025</v>
      </c>
      <c r="C57" s="2">
        <v>2</v>
      </c>
    </row>
    <row r="58" spans="1:3" x14ac:dyDescent="0.3">
      <c r="A58" s="1">
        <v>45714</v>
      </c>
      <c r="B58" s="2">
        <v>2025</v>
      </c>
      <c r="C58" s="2">
        <v>2</v>
      </c>
    </row>
    <row r="59" spans="1:3" x14ac:dyDescent="0.3">
      <c r="A59" s="1">
        <v>45715</v>
      </c>
      <c r="B59" s="2">
        <v>2025</v>
      </c>
      <c r="C59" s="2">
        <v>2</v>
      </c>
    </row>
    <row r="60" spans="1:3" x14ac:dyDescent="0.3">
      <c r="A60" s="1">
        <v>45716</v>
      </c>
      <c r="B60" s="2">
        <v>2025</v>
      </c>
      <c r="C60" s="2">
        <v>2</v>
      </c>
    </row>
    <row r="61" spans="1:3" x14ac:dyDescent="0.3">
      <c r="A61" s="1">
        <v>45717</v>
      </c>
      <c r="B61" s="2">
        <v>2025</v>
      </c>
      <c r="C61" s="2">
        <v>3</v>
      </c>
    </row>
    <row r="62" spans="1:3" x14ac:dyDescent="0.3">
      <c r="A62" s="1">
        <v>45718</v>
      </c>
      <c r="B62" s="2">
        <v>2025</v>
      </c>
      <c r="C62" s="2">
        <v>3</v>
      </c>
    </row>
    <row r="63" spans="1:3" x14ac:dyDescent="0.3">
      <c r="A63" s="1">
        <v>45719</v>
      </c>
      <c r="B63" s="2">
        <v>2025</v>
      </c>
      <c r="C63" s="2">
        <v>3</v>
      </c>
    </row>
    <row r="64" spans="1:3" x14ac:dyDescent="0.3">
      <c r="A64" s="1">
        <v>45720</v>
      </c>
      <c r="B64" s="2">
        <v>2025</v>
      </c>
      <c r="C64" s="2">
        <v>3</v>
      </c>
    </row>
    <row r="65" spans="1:3" x14ac:dyDescent="0.3">
      <c r="A65" s="1">
        <v>45721</v>
      </c>
      <c r="B65" s="2">
        <v>2025</v>
      </c>
      <c r="C65" s="2">
        <v>3</v>
      </c>
    </row>
    <row r="66" spans="1:3" x14ac:dyDescent="0.3">
      <c r="A66" s="1">
        <v>45722</v>
      </c>
      <c r="B66" s="2">
        <v>2025</v>
      </c>
      <c r="C66" s="2">
        <v>3</v>
      </c>
    </row>
    <row r="67" spans="1:3" x14ac:dyDescent="0.3">
      <c r="A67" s="1">
        <v>45723</v>
      </c>
      <c r="B67" s="2">
        <v>2025</v>
      </c>
      <c r="C67" s="2">
        <v>3</v>
      </c>
    </row>
    <row r="68" spans="1:3" x14ac:dyDescent="0.3">
      <c r="A68" s="1">
        <v>45724</v>
      </c>
      <c r="B68" s="2">
        <v>2025</v>
      </c>
      <c r="C68" s="2">
        <v>3</v>
      </c>
    </row>
    <row r="69" spans="1:3" x14ac:dyDescent="0.3">
      <c r="A69" s="1">
        <v>45725</v>
      </c>
      <c r="B69" s="2">
        <v>2025</v>
      </c>
      <c r="C69" s="2">
        <v>3</v>
      </c>
    </row>
    <row r="70" spans="1:3" x14ac:dyDescent="0.3">
      <c r="A70" s="1">
        <v>45726</v>
      </c>
      <c r="B70" s="2">
        <v>2025</v>
      </c>
      <c r="C70" s="2">
        <v>3</v>
      </c>
    </row>
    <row r="71" spans="1:3" x14ac:dyDescent="0.3">
      <c r="A71" s="1">
        <v>45727</v>
      </c>
      <c r="B71" s="2">
        <v>2025</v>
      </c>
      <c r="C71" s="2">
        <v>3</v>
      </c>
    </row>
    <row r="72" spans="1:3" x14ac:dyDescent="0.3">
      <c r="A72" s="1">
        <v>45728</v>
      </c>
      <c r="B72" s="2">
        <v>2025</v>
      </c>
      <c r="C72" s="2">
        <v>3</v>
      </c>
    </row>
    <row r="73" spans="1:3" x14ac:dyDescent="0.3">
      <c r="A73" s="1">
        <v>45729</v>
      </c>
      <c r="B73" s="2">
        <v>2025</v>
      </c>
      <c r="C73" s="2">
        <v>3</v>
      </c>
    </row>
    <row r="74" spans="1:3" x14ac:dyDescent="0.3">
      <c r="A74" s="1">
        <v>45730</v>
      </c>
      <c r="B74" s="2">
        <v>2025</v>
      </c>
      <c r="C74" s="2">
        <v>3</v>
      </c>
    </row>
    <row r="75" spans="1:3" x14ac:dyDescent="0.3">
      <c r="A75" s="1">
        <v>45731</v>
      </c>
      <c r="B75" s="2">
        <v>2025</v>
      </c>
      <c r="C75" s="2">
        <v>3</v>
      </c>
    </row>
    <row r="76" spans="1:3" x14ac:dyDescent="0.3">
      <c r="A76" s="1">
        <v>45732</v>
      </c>
      <c r="B76" s="2">
        <v>2025</v>
      </c>
      <c r="C76" s="2">
        <v>3</v>
      </c>
    </row>
    <row r="77" spans="1:3" x14ac:dyDescent="0.3">
      <c r="A77" s="1">
        <v>45733</v>
      </c>
      <c r="B77" s="2">
        <v>2025</v>
      </c>
      <c r="C77" s="2">
        <v>3</v>
      </c>
    </row>
    <row r="78" spans="1:3" x14ac:dyDescent="0.3">
      <c r="A78" s="1">
        <v>45734</v>
      </c>
      <c r="B78" s="2">
        <v>2025</v>
      </c>
      <c r="C78" s="2">
        <v>3</v>
      </c>
    </row>
    <row r="79" spans="1:3" x14ac:dyDescent="0.3">
      <c r="A79" s="1">
        <v>45735</v>
      </c>
      <c r="B79" s="2">
        <v>2025</v>
      </c>
      <c r="C79" s="2">
        <v>3</v>
      </c>
    </row>
    <row r="80" spans="1:3" x14ac:dyDescent="0.3">
      <c r="A80" s="1">
        <v>45736</v>
      </c>
      <c r="B80" s="2">
        <v>2025</v>
      </c>
      <c r="C80" s="2">
        <v>3</v>
      </c>
    </row>
    <row r="81" spans="1:3" x14ac:dyDescent="0.3">
      <c r="A81" s="1">
        <v>45737</v>
      </c>
      <c r="B81" s="2">
        <v>2025</v>
      </c>
      <c r="C81" s="2">
        <v>3</v>
      </c>
    </row>
    <row r="82" spans="1:3" x14ac:dyDescent="0.3">
      <c r="A82" s="1">
        <v>45738</v>
      </c>
      <c r="B82" s="2">
        <v>2025</v>
      </c>
      <c r="C82" s="2">
        <v>3</v>
      </c>
    </row>
    <row r="83" spans="1:3" x14ac:dyDescent="0.3">
      <c r="A83" s="1">
        <v>45739</v>
      </c>
      <c r="B83" s="2">
        <v>2025</v>
      </c>
      <c r="C83" s="2">
        <v>3</v>
      </c>
    </row>
    <row r="84" spans="1:3" x14ac:dyDescent="0.3">
      <c r="A84" s="1">
        <v>45740</v>
      </c>
      <c r="B84" s="2">
        <v>2025</v>
      </c>
      <c r="C84" s="2">
        <v>3</v>
      </c>
    </row>
    <row r="85" spans="1:3" x14ac:dyDescent="0.3">
      <c r="A85" s="1">
        <v>45741</v>
      </c>
      <c r="B85" s="2">
        <v>2025</v>
      </c>
      <c r="C85" s="2">
        <v>3</v>
      </c>
    </row>
    <row r="86" spans="1:3" x14ac:dyDescent="0.3">
      <c r="A86" s="1">
        <v>45742</v>
      </c>
      <c r="B86" s="2">
        <v>2025</v>
      </c>
      <c r="C86" s="2">
        <v>3</v>
      </c>
    </row>
    <row r="87" spans="1:3" x14ac:dyDescent="0.3">
      <c r="A87" s="1">
        <v>45743</v>
      </c>
      <c r="B87" s="2">
        <v>2025</v>
      </c>
      <c r="C87" s="2">
        <v>3</v>
      </c>
    </row>
    <row r="88" spans="1:3" x14ac:dyDescent="0.3">
      <c r="A88" s="1">
        <v>45744</v>
      </c>
      <c r="B88" s="2">
        <v>2025</v>
      </c>
      <c r="C88" s="2">
        <v>3</v>
      </c>
    </row>
    <row r="89" spans="1:3" x14ac:dyDescent="0.3">
      <c r="A89" s="1">
        <v>45745</v>
      </c>
      <c r="B89" s="2">
        <v>2025</v>
      </c>
      <c r="C89" s="2">
        <v>3</v>
      </c>
    </row>
    <row r="90" spans="1:3" x14ac:dyDescent="0.3">
      <c r="A90" s="1">
        <v>45746</v>
      </c>
      <c r="B90" s="2">
        <v>2025</v>
      </c>
      <c r="C90" s="2">
        <v>3</v>
      </c>
    </row>
    <row r="91" spans="1:3" x14ac:dyDescent="0.3">
      <c r="A91" s="1">
        <v>45747</v>
      </c>
      <c r="B91" s="2">
        <v>2025</v>
      </c>
      <c r="C91" s="2">
        <v>3</v>
      </c>
    </row>
    <row r="92" spans="1:3" x14ac:dyDescent="0.3">
      <c r="A92" s="1">
        <v>45748</v>
      </c>
      <c r="B92" s="2">
        <v>2025</v>
      </c>
      <c r="C92" s="2">
        <v>4</v>
      </c>
    </row>
    <row r="93" spans="1:3" x14ac:dyDescent="0.3">
      <c r="A93" s="1">
        <v>45749</v>
      </c>
      <c r="B93" s="2">
        <v>2025</v>
      </c>
      <c r="C93" s="2">
        <v>4</v>
      </c>
    </row>
    <row r="94" spans="1:3" x14ac:dyDescent="0.3">
      <c r="A94" s="1">
        <v>45750</v>
      </c>
      <c r="B94" s="2">
        <v>2025</v>
      </c>
      <c r="C94" s="2">
        <v>4</v>
      </c>
    </row>
    <row r="95" spans="1:3" x14ac:dyDescent="0.3">
      <c r="A95" s="1">
        <v>45751</v>
      </c>
      <c r="B95" s="2">
        <v>2025</v>
      </c>
      <c r="C95" s="2">
        <v>4</v>
      </c>
    </row>
    <row r="96" spans="1:3" x14ac:dyDescent="0.3">
      <c r="A96" s="1">
        <v>45752</v>
      </c>
      <c r="B96" s="2">
        <v>2025</v>
      </c>
      <c r="C96" s="2">
        <v>4</v>
      </c>
    </row>
    <row r="97" spans="1:3" x14ac:dyDescent="0.3">
      <c r="A97" s="1">
        <v>45753</v>
      </c>
      <c r="B97" s="2">
        <v>2025</v>
      </c>
      <c r="C97" s="2">
        <v>4</v>
      </c>
    </row>
    <row r="98" spans="1:3" x14ac:dyDescent="0.3">
      <c r="A98" s="1">
        <v>45754</v>
      </c>
      <c r="B98" s="2">
        <v>2025</v>
      </c>
      <c r="C98" s="2">
        <v>4</v>
      </c>
    </row>
    <row r="99" spans="1:3" x14ac:dyDescent="0.3">
      <c r="A99" s="1">
        <v>45755</v>
      </c>
      <c r="B99" s="2">
        <v>2025</v>
      </c>
      <c r="C99" s="2">
        <v>4</v>
      </c>
    </row>
    <row r="100" spans="1:3" x14ac:dyDescent="0.3">
      <c r="A100" s="1">
        <v>45756</v>
      </c>
      <c r="B100" s="2">
        <v>2025</v>
      </c>
      <c r="C100" s="2">
        <v>4</v>
      </c>
    </row>
    <row r="101" spans="1:3" x14ac:dyDescent="0.3">
      <c r="A101" s="1">
        <v>45757</v>
      </c>
      <c r="B101" s="2">
        <v>2025</v>
      </c>
      <c r="C101" s="2">
        <v>4</v>
      </c>
    </row>
    <row r="102" spans="1:3" x14ac:dyDescent="0.3">
      <c r="A102" s="1">
        <v>45758</v>
      </c>
      <c r="B102" s="2">
        <v>2025</v>
      </c>
      <c r="C102" s="2">
        <v>4</v>
      </c>
    </row>
    <row r="103" spans="1:3" x14ac:dyDescent="0.3">
      <c r="A103" s="1">
        <v>45759</v>
      </c>
      <c r="B103" s="2">
        <v>2025</v>
      </c>
      <c r="C103" s="2">
        <v>4</v>
      </c>
    </row>
    <row r="104" spans="1:3" x14ac:dyDescent="0.3">
      <c r="A104" s="1">
        <v>45760</v>
      </c>
      <c r="B104" s="2">
        <v>2025</v>
      </c>
      <c r="C104" s="2">
        <v>4</v>
      </c>
    </row>
    <row r="105" spans="1:3" x14ac:dyDescent="0.3">
      <c r="A105" s="1">
        <v>45761</v>
      </c>
      <c r="B105" s="2">
        <v>2025</v>
      </c>
      <c r="C105" s="2">
        <v>4</v>
      </c>
    </row>
    <row r="106" spans="1:3" x14ac:dyDescent="0.3">
      <c r="A106" s="1">
        <v>45762</v>
      </c>
      <c r="B106" s="2">
        <v>2025</v>
      </c>
      <c r="C106" s="2">
        <v>4</v>
      </c>
    </row>
    <row r="107" spans="1:3" x14ac:dyDescent="0.3">
      <c r="A107" s="1">
        <v>45763</v>
      </c>
      <c r="B107" s="2">
        <v>2025</v>
      </c>
      <c r="C107" s="2">
        <v>4</v>
      </c>
    </row>
    <row r="108" spans="1:3" x14ac:dyDescent="0.3">
      <c r="A108" s="1">
        <v>45764</v>
      </c>
      <c r="B108" s="2">
        <v>2025</v>
      </c>
      <c r="C108" s="2">
        <v>4</v>
      </c>
    </row>
    <row r="109" spans="1:3" x14ac:dyDescent="0.3">
      <c r="A109" s="1">
        <v>45765</v>
      </c>
      <c r="B109" s="2">
        <v>2025</v>
      </c>
      <c r="C109" s="2">
        <v>4</v>
      </c>
    </row>
    <row r="110" spans="1:3" x14ac:dyDescent="0.3">
      <c r="A110" s="1">
        <v>45766</v>
      </c>
      <c r="B110" s="2">
        <v>2025</v>
      </c>
      <c r="C110" s="2">
        <v>4</v>
      </c>
    </row>
    <row r="111" spans="1:3" x14ac:dyDescent="0.3">
      <c r="A111" s="1">
        <v>45767</v>
      </c>
      <c r="B111" s="2">
        <v>2025</v>
      </c>
      <c r="C111" s="2">
        <v>4</v>
      </c>
    </row>
    <row r="112" spans="1:3" x14ac:dyDescent="0.3">
      <c r="A112" s="1">
        <v>45768</v>
      </c>
      <c r="B112" s="2">
        <v>2025</v>
      </c>
      <c r="C112" s="2">
        <v>4</v>
      </c>
    </row>
    <row r="113" spans="1:3" x14ac:dyDescent="0.3">
      <c r="A113" s="1">
        <v>45769</v>
      </c>
      <c r="B113" s="2">
        <v>2025</v>
      </c>
      <c r="C113" s="2">
        <v>4</v>
      </c>
    </row>
    <row r="114" spans="1:3" x14ac:dyDescent="0.3">
      <c r="A114" s="1">
        <v>45770</v>
      </c>
      <c r="B114" s="2">
        <v>2025</v>
      </c>
      <c r="C114" s="2">
        <v>4</v>
      </c>
    </row>
    <row r="115" spans="1:3" x14ac:dyDescent="0.3">
      <c r="A115" s="1">
        <v>45771</v>
      </c>
      <c r="B115" s="2">
        <v>2025</v>
      </c>
      <c r="C115" s="2">
        <v>4</v>
      </c>
    </row>
    <row r="116" spans="1:3" x14ac:dyDescent="0.3">
      <c r="A116" s="1">
        <v>45772</v>
      </c>
      <c r="B116" s="2">
        <v>2025</v>
      </c>
      <c r="C116" s="2">
        <v>4</v>
      </c>
    </row>
    <row r="117" spans="1:3" x14ac:dyDescent="0.3">
      <c r="A117" s="1">
        <v>45773</v>
      </c>
      <c r="B117" s="2">
        <v>2025</v>
      </c>
      <c r="C117" s="2">
        <v>4</v>
      </c>
    </row>
    <row r="118" spans="1:3" x14ac:dyDescent="0.3">
      <c r="A118" s="1">
        <v>45774</v>
      </c>
      <c r="B118" s="2">
        <v>2025</v>
      </c>
      <c r="C118" s="2">
        <v>4</v>
      </c>
    </row>
    <row r="119" spans="1:3" x14ac:dyDescent="0.3">
      <c r="A119" s="1">
        <v>45775</v>
      </c>
      <c r="B119" s="2">
        <v>2025</v>
      </c>
      <c r="C119" s="2">
        <v>4</v>
      </c>
    </row>
    <row r="120" spans="1:3" x14ac:dyDescent="0.3">
      <c r="A120" s="1">
        <v>45776</v>
      </c>
      <c r="B120" s="2">
        <v>2025</v>
      </c>
      <c r="C120" s="2">
        <v>4</v>
      </c>
    </row>
    <row r="121" spans="1:3" x14ac:dyDescent="0.3">
      <c r="A121" s="1">
        <v>45777</v>
      </c>
      <c r="B121" s="2">
        <v>2025</v>
      </c>
      <c r="C121" s="2">
        <v>4</v>
      </c>
    </row>
    <row r="122" spans="1:3" x14ac:dyDescent="0.3">
      <c r="A122" s="1">
        <v>45778</v>
      </c>
      <c r="B122" s="2">
        <v>2025</v>
      </c>
      <c r="C122" s="2">
        <v>5</v>
      </c>
    </row>
    <row r="123" spans="1:3" x14ac:dyDescent="0.3">
      <c r="A123" s="1">
        <v>45779</v>
      </c>
      <c r="B123" s="2">
        <v>2025</v>
      </c>
      <c r="C123" s="2">
        <v>5</v>
      </c>
    </row>
    <row r="124" spans="1:3" x14ac:dyDescent="0.3">
      <c r="A124" s="1">
        <v>45780</v>
      </c>
      <c r="B124" s="2">
        <v>2025</v>
      </c>
      <c r="C124" s="2">
        <v>5</v>
      </c>
    </row>
    <row r="125" spans="1:3" x14ac:dyDescent="0.3">
      <c r="A125" s="1">
        <v>45781</v>
      </c>
      <c r="B125" s="2">
        <v>2025</v>
      </c>
      <c r="C125" s="2">
        <v>5</v>
      </c>
    </row>
    <row r="126" spans="1:3" x14ac:dyDescent="0.3">
      <c r="A126" s="1">
        <v>45782</v>
      </c>
      <c r="B126" s="2">
        <v>2025</v>
      </c>
      <c r="C126" s="2">
        <v>5</v>
      </c>
    </row>
    <row r="127" spans="1:3" x14ac:dyDescent="0.3">
      <c r="A127" s="1">
        <v>45783</v>
      </c>
      <c r="B127" s="2">
        <v>2025</v>
      </c>
      <c r="C127" s="2">
        <v>5</v>
      </c>
    </row>
    <row r="128" spans="1:3" x14ac:dyDescent="0.3">
      <c r="A128" s="1">
        <v>45784</v>
      </c>
      <c r="B128" s="2">
        <v>2025</v>
      </c>
      <c r="C128" s="2">
        <v>5</v>
      </c>
    </row>
    <row r="129" spans="1:3" x14ac:dyDescent="0.3">
      <c r="A129" s="1">
        <v>45785</v>
      </c>
      <c r="B129" s="2">
        <v>2025</v>
      </c>
      <c r="C129" s="2">
        <v>5</v>
      </c>
    </row>
    <row r="130" spans="1:3" x14ac:dyDescent="0.3">
      <c r="A130" s="1">
        <v>45786</v>
      </c>
      <c r="B130" s="2">
        <v>2025</v>
      </c>
      <c r="C130" s="2">
        <v>5</v>
      </c>
    </row>
    <row r="131" spans="1:3" x14ac:dyDescent="0.3">
      <c r="A131" s="1">
        <v>45787</v>
      </c>
      <c r="B131" s="2">
        <v>2025</v>
      </c>
      <c r="C131" s="2">
        <v>5</v>
      </c>
    </row>
    <row r="132" spans="1:3" x14ac:dyDescent="0.3">
      <c r="A132" s="1">
        <v>45788</v>
      </c>
      <c r="B132" s="2">
        <v>2025</v>
      </c>
      <c r="C132" s="2">
        <v>5</v>
      </c>
    </row>
    <row r="133" spans="1:3" x14ac:dyDescent="0.3">
      <c r="A133" s="1">
        <v>45789</v>
      </c>
      <c r="B133" s="2">
        <v>2025</v>
      </c>
      <c r="C133" s="2">
        <v>5</v>
      </c>
    </row>
    <row r="134" spans="1:3" x14ac:dyDescent="0.3">
      <c r="A134" s="1">
        <v>45790</v>
      </c>
      <c r="B134" s="2">
        <v>2025</v>
      </c>
      <c r="C134" s="2">
        <v>5</v>
      </c>
    </row>
    <row r="135" spans="1:3" x14ac:dyDescent="0.3">
      <c r="A135" s="1">
        <v>45791</v>
      </c>
      <c r="B135" s="2">
        <v>2025</v>
      </c>
      <c r="C135" s="2">
        <v>5</v>
      </c>
    </row>
    <row r="136" spans="1:3" x14ac:dyDescent="0.3">
      <c r="A136" s="1">
        <v>45792</v>
      </c>
      <c r="B136" s="2">
        <v>2025</v>
      </c>
      <c r="C136" s="2">
        <v>5</v>
      </c>
    </row>
    <row r="137" spans="1:3" x14ac:dyDescent="0.3">
      <c r="A137" s="1">
        <v>45793</v>
      </c>
      <c r="B137" s="2">
        <v>2025</v>
      </c>
      <c r="C137" s="2">
        <v>5</v>
      </c>
    </row>
    <row r="138" spans="1:3" x14ac:dyDescent="0.3">
      <c r="A138" s="1">
        <v>45794</v>
      </c>
      <c r="B138" s="2">
        <v>2025</v>
      </c>
      <c r="C138" s="2">
        <v>5</v>
      </c>
    </row>
    <row r="139" spans="1:3" x14ac:dyDescent="0.3">
      <c r="A139" s="1">
        <v>45795</v>
      </c>
      <c r="B139" s="2">
        <v>2025</v>
      </c>
      <c r="C139" s="2">
        <v>5</v>
      </c>
    </row>
    <row r="140" spans="1:3" x14ac:dyDescent="0.3">
      <c r="A140" s="1">
        <v>45796</v>
      </c>
      <c r="B140" s="2">
        <v>2025</v>
      </c>
      <c r="C140" s="2">
        <v>5</v>
      </c>
    </row>
    <row r="141" spans="1:3" x14ac:dyDescent="0.3">
      <c r="A141" s="1">
        <v>45797</v>
      </c>
      <c r="B141" s="2">
        <v>2025</v>
      </c>
      <c r="C141" s="2">
        <v>5</v>
      </c>
    </row>
    <row r="142" spans="1:3" x14ac:dyDescent="0.3">
      <c r="A142" s="1">
        <v>45798</v>
      </c>
      <c r="B142" s="2">
        <v>2025</v>
      </c>
      <c r="C142" s="2">
        <v>5</v>
      </c>
    </row>
    <row r="143" spans="1:3" x14ac:dyDescent="0.3">
      <c r="A143" s="1">
        <v>45799</v>
      </c>
      <c r="B143" s="2">
        <v>2025</v>
      </c>
      <c r="C143" s="2">
        <v>5</v>
      </c>
    </row>
    <row r="144" spans="1:3" x14ac:dyDescent="0.3">
      <c r="A144" s="1">
        <v>45800</v>
      </c>
      <c r="B144" s="2">
        <v>2025</v>
      </c>
      <c r="C144" s="2">
        <v>5</v>
      </c>
    </row>
    <row r="145" spans="1:3" x14ac:dyDescent="0.3">
      <c r="A145" s="1">
        <v>45801</v>
      </c>
      <c r="B145" s="2">
        <v>2025</v>
      </c>
      <c r="C145" s="2">
        <v>5</v>
      </c>
    </row>
    <row r="146" spans="1:3" x14ac:dyDescent="0.3">
      <c r="A146" s="1">
        <v>45802</v>
      </c>
      <c r="B146" s="2">
        <v>2025</v>
      </c>
      <c r="C146" s="2">
        <v>5</v>
      </c>
    </row>
    <row r="147" spans="1:3" x14ac:dyDescent="0.3">
      <c r="A147" s="1">
        <v>45803</v>
      </c>
      <c r="B147" s="2">
        <v>2025</v>
      </c>
      <c r="C147" s="2">
        <v>5</v>
      </c>
    </row>
    <row r="148" spans="1:3" x14ac:dyDescent="0.3">
      <c r="A148" s="1">
        <v>45804</v>
      </c>
      <c r="B148" s="2">
        <v>2025</v>
      </c>
      <c r="C148" s="2">
        <v>5</v>
      </c>
    </row>
    <row r="149" spans="1:3" x14ac:dyDescent="0.3">
      <c r="A149" s="1">
        <v>45805</v>
      </c>
      <c r="B149" s="2">
        <v>2025</v>
      </c>
      <c r="C149" s="2">
        <v>5</v>
      </c>
    </row>
    <row r="150" spans="1:3" x14ac:dyDescent="0.3">
      <c r="A150" s="1">
        <v>45806</v>
      </c>
      <c r="B150" s="2">
        <v>2025</v>
      </c>
      <c r="C150" s="2">
        <v>5</v>
      </c>
    </row>
    <row r="151" spans="1:3" x14ac:dyDescent="0.3">
      <c r="A151" s="1">
        <v>45807</v>
      </c>
      <c r="B151" s="2">
        <v>2025</v>
      </c>
      <c r="C151" s="2">
        <v>5</v>
      </c>
    </row>
    <row r="152" spans="1:3" x14ac:dyDescent="0.3">
      <c r="A152" s="1">
        <v>45808</v>
      </c>
      <c r="B152" s="2">
        <v>2025</v>
      </c>
      <c r="C152" s="2">
        <v>5</v>
      </c>
    </row>
    <row r="153" spans="1:3" x14ac:dyDescent="0.3">
      <c r="A153" s="1">
        <v>45809</v>
      </c>
      <c r="B153" s="2">
        <v>2025</v>
      </c>
      <c r="C153" s="2">
        <v>6</v>
      </c>
    </row>
    <row r="154" spans="1:3" x14ac:dyDescent="0.3">
      <c r="A154" s="1">
        <v>45810</v>
      </c>
      <c r="B154" s="2">
        <v>2025</v>
      </c>
      <c r="C154" s="2">
        <v>6</v>
      </c>
    </row>
    <row r="155" spans="1:3" x14ac:dyDescent="0.3">
      <c r="A155" s="1">
        <v>45811</v>
      </c>
      <c r="B155" s="2">
        <v>2025</v>
      </c>
      <c r="C155" s="2">
        <v>6</v>
      </c>
    </row>
    <row r="156" spans="1:3" x14ac:dyDescent="0.3">
      <c r="A156" s="1">
        <v>45812</v>
      </c>
      <c r="B156" s="2">
        <v>2025</v>
      </c>
      <c r="C156" s="2">
        <v>6</v>
      </c>
    </row>
    <row r="157" spans="1:3" x14ac:dyDescent="0.3">
      <c r="A157" s="1">
        <v>45813</v>
      </c>
      <c r="B157" s="2">
        <v>2025</v>
      </c>
      <c r="C157" s="2">
        <v>6</v>
      </c>
    </row>
    <row r="158" spans="1:3" x14ac:dyDescent="0.3">
      <c r="A158" s="1">
        <v>45814</v>
      </c>
      <c r="B158" s="2">
        <v>2025</v>
      </c>
      <c r="C158" s="2">
        <v>6</v>
      </c>
    </row>
    <row r="159" spans="1:3" x14ac:dyDescent="0.3">
      <c r="A159" s="1">
        <v>45815</v>
      </c>
      <c r="B159" s="2">
        <v>2025</v>
      </c>
      <c r="C159" s="2">
        <v>6</v>
      </c>
    </row>
    <row r="160" spans="1:3" x14ac:dyDescent="0.3">
      <c r="A160" s="1">
        <v>45816</v>
      </c>
      <c r="B160" s="2">
        <v>2025</v>
      </c>
      <c r="C160" s="2">
        <v>6</v>
      </c>
    </row>
    <row r="161" spans="1:3" x14ac:dyDescent="0.3">
      <c r="A161" s="1">
        <v>45817</v>
      </c>
      <c r="B161" s="2">
        <v>2025</v>
      </c>
      <c r="C161" s="2">
        <v>6</v>
      </c>
    </row>
    <row r="162" spans="1:3" x14ac:dyDescent="0.3">
      <c r="A162" s="1">
        <v>45818</v>
      </c>
      <c r="B162" s="2">
        <v>2025</v>
      </c>
      <c r="C162" s="2">
        <v>6</v>
      </c>
    </row>
    <row r="163" spans="1:3" x14ac:dyDescent="0.3">
      <c r="A163" s="1">
        <v>45819</v>
      </c>
      <c r="B163" s="2">
        <v>2025</v>
      </c>
      <c r="C163" s="2">
        <v>6</v>
      </c>
    </row>
    <row r="164" spans="1:3" x14ac:dyDescent="0.3">
      <c r="A164" s="1">
        <v>45820</v>
      </c>
      <c r="B164" s="2">
        <v>2025</v>
      </c>
      <c r="C164" s="2">
        <v>6</v>
      </c>
    </row>
    <row r="165" spans="1:3" x14ac:dyDescent="0.3">
      <c r="A165" s="1">
        <v>45821</v>
      </c>
      <c r="B165" s="2">
        <v>2025</v>
      </c>
      <c r="C165" s="2">
        <v>6</v>
      </c>
    </row>
    <row r="166" spans="1:3" x14ac:dyDescent="0.3">
      <c r="A166" s="1">
        <v>45822</v>
      </c>
      <c r="B166" s="2">
        <v>2025</v>
      </c>
      <c r="C166" s="2">
        <v>6</v>
      </c>
    </row>
    <row r="167" spans="1:3" x14ac:dyDescent="0.3">
      <c r="A167" s="1">
        <v>45823</v>
      </c>
      <c r="B167" s="2">
        <v>2025</v>
      </c>
      <c r="C167" s="2">
        <v>6</v>
      </c>
    </row>
    <row r="168" spans="1:3" x14ac:dyDescent="0.3">
      <c r="A168" s="1">
        <v>45824</v>
      </c>
      <c r="B168" s="2">
        <v>2025</v>
      </c>
      <c r="C168" s="2">
        <v>6</v>
      </c>
    </row>
    <row r="169" spans="1:3" x14ac:dyDescent="0.3">
      <c r="A169" s="1">
        <v>45825</v>
      </c>
      <c r="B169" s="2">
        <v>2025</v>
      </c>
      <c r="C169" s="2">
        <v>6</v>
      </c>
    </row>
    <row r="170" spans="1:3" x14ac:dyDescent="0.3">
      <c r="A170" s="1">
        <v>45826</v>
      </c>
      <c r="B170" s="2">
        <v>2025</v>
      </c>
      <c r="C170" s="2">
        <v>6</v>
      </c>
    </row>
    <row r="171" spans="1:3" x14ac:dyDescent="0.3">
      <c r="A171" s="1">
        <v>45827</v>
      </c>
      <c r="B171" s="2">
        <v>2025</v>
      </c>
      <c r="C171" s="2">
        <v>6</v>
      </c>
    </row>
    <row r="172" spans="1:3" x14ac:dyDescent="0.3">
      <c r="A172" s="1">
        <v>45828</v>
      </c>
      <c r="B172" s="2">
        <v>2025</v>
      </c>
      <c r="C172" s="2">
        <v>6</v>
      </c>
    </row>
    <row r="173" spans="1:3" x14ac:dyDescent="0.3">
      <c r="A173" s="1">
        <v>45829</v>
      </c>
      <c r="B173" s="2">
        <v>2025</v>
      </c>
      <c r="C173" s="2">
        <v>6</v>
      </c>
    </row>
    <row r="174" spans="1:3" x14ac:dyDescent="0.3">
      <c r="A174" s="1">
        <v>45830</v>
      </c>
      <c r="B174" s="2">
        <v>2025</v>
      </c>
      <c r="C174" s="2">
        <v>6</v>
      </c>
    </row>
    <row r="175" spans="1:3" x14ac:dyDescent="0.3">
      <c r="A175" s="1">
        <v>45831</v>
      </c>
      <c r="B175" s="2">
        <v>2025</v>
      </c>
      <c r="C175" s="2">
        <v>6</v>
      </c>
    </row>
    <row r="176" spans="1:3" x14ac:dyDescent="0.3">
      <c r="A176" s="1">
        <v>45832</v>
      </c>
      <c r="B176" s="2">
        <v>2025</v>
      </c>
      <c r="C176" s="2">
        <v>6</v>
      </c>
    </row>
    <row r="177" spans="1:3" x14ac:dyDescent="0.3">
      <c r="A177" s="1">
        <v>45833</v>
      </c>
      <c r="B177" s="2">
        <v>2025</v>
      </c>
      <c r="C177" s="2">
        <v>6</v>
      </c>
    </row>
    <row r="178" spans="1:3" x14ac:dyDescent="0.3">
      <c r="A178" s="1">
        <v>45834</v>
      </c>
      <c r="B178" s="2">
        <v>2025</v>
      </c>
      <c r="C178" s="2">
        <v>6</v>
      </c>
    </row>
    <row r="179" spans="1:3" x14ac:dyDescent="0.3">
      <c r="A179" s="1">
        <v>45835</v>
      </c>
      <c r="B179" s="2">
        <v>2025</v>
      </c>
      <c r="C179" s="2">
        <v>6</v>
      </c>
    </row>
    <row r="180" spans="1:3" x14ac:dyDescent="0.3">
      <c r="A180" s="1">
        <v>45836</v>
      </c>
      <c r="B180" s="2">
        <v>2025</v>
      </c>
      <c r="C180" s="2">
        <v>6</v>
      </c>
    </row>
    <row r="181" spans="1:3" x14ac:dyDescent="0.3">
      <c r="A181" s="1">
        <v>45837</v>
      </c>
      <c r="B181" s="2">
        <v>2025</v>
      </c>
      <c r="C181" s="2">
        <v>6</v>
      </c>
    </row>
    <row r="182" spans="1:3" x14ac:dyDescent="0.3">
      <c r="A182" s="1">
        <v>45838</v>
      </c>
      <c r="B182" s="2">
        <v>2025</v>
      </c>
      <c r="C182" s="2">
        <v>6</v>
      </c>
    </row>
    <row r="183" spans="1:3" x14ac:dyDescent="0.3">
      <c r="A183" s="1">
        <v>45839</v>
      </c>
      <c r="B183" s="2">
        <v>2025</v>
      </c>
      <c r="C183" s="2">
        <v>7</v>
      </c>
    </row>
    <row r="184" spans="1:3" x14ac:dyDescent="0.3">
      <c r="A184" s="1">
        <v>45840</v>
      </c>
      <c r="B184" s="2">
        <v>2025</v>
      </c>
      <c r="C184" s="2">
        <v>7</v>
      </c>
    </row>
    <row r="185" spans="1:3" x14ac:dyDescent="0.3">
      <c r="A185" s="1">
        <v>45841</v>
      </c>
      <c r="B185" s="2">
        <v>2025</v>
      </c>
      <c r="C185" s="2">
        <v>7</v>
      </c>
    </row>
    <row r="186" spans="1:3" x14ac:dyDescent="0.3">
      <c r="A186" s="1">
        <v>45842</v>
      </c>
      <c r="B186" s="2">
        <v>2025</v>
      </c>
      <c r="C186" s="2">
        <v>7</v>
      </c>
    </row>
    <row r="187" spans="1:3" x14ac:dyDescent="0.3">
      <c r="A187" s="1">
        <v>45843</v>
      </c>
      <c r="B187" s="2">
        <v>2025</v>
      </c>
      <c r="C187" s="2">
        <v>7</v>
      </c>
    </row>
    <row r="188" spans="1:3" x14ac:dyDescent="0.3">
      <c r="A188" s="1">
        <v>45844</v>
      </c>
      <c r="B188" s="2">
        <v>2025</v>
      </c>
      <c r="C188" s="2">
        <v>7</v>
      </c>
    </row>
    <row r="189" spans="1:3" x14ac:dyDescent="0.3">
      <c r="A189" s="1">
        <v>45845</v>
      </c>
      <c r="B189" s="2">
        <v>2025</v>
      </c>
      <c r="C189" s="2">
        <v>7</v>
      </c>
    </row>
    <row r="190" spans="1:3" x14ac:dyDescent="0.3">
      <c r="A190" s="1">
        <v>45846</v>
      </c>
      <c r="B190" s="2">
        <v>2025</v>
      </c>
      <c r="C190" s="2">
        <v>7</v>
      </c>
    </row>
    <row r="191" spans="1:3" x14ac:dyDescent="0.3">
      <c r="A191" s="1">
        <v>45847</v>
      </c>
      <c r="B191" s="2">
        <v>2025</v>
      </c>
      <c r="C191" s="2">
        <v>7</v>
      </c>
    </row>
    <row r="192" spans="1:3" x14ac:dyDescent="0.3">
      <c r="A192" s="1">
        <v>45848</v>
      </c>
      <c r="B192" s="2">
        <v>2025</v>
      </c>
      <c r="C192" s="2">
        <v>7</v>
      </c>
    </row>
    <row r="193" spans="1:3" x14ac:dyDescent="0.3">
      <c r="A193" s="1">
        <v>45849</v>
      </c>
      <c r="B193" s="2">
        <v>2025</v>
      </c>
      <c r="C193" s="2">
        <v>7</v>
      </c>
    </row>
    <row r="194" spans="1:3" x14ac:dyDescent="0.3">
      <c r="A194" s="1">
        <v>45850</v>
      </c>
      <c r="B194" s="2">
        <v>2025</v>
      </c>
      <c r="C194" s="2">
        <v>7</v>
      </c>
    </row>
    <row r="195" spans="1:3" x14ac:dyDescent="0.3">
      <c r="A195" s="1">
        <v>45851</v>
      </c>
      <c r="B195" s="2">
        <v>2025</v>
      </c>
      <c r="C195" s="2">
        <v>7</v>
      </c>
    </row>
    <row r="196" spans="1:3" x14ac:dyDescent="0.3">
      <c r="A196" s="1">
        <v>45852</v>
      </c>
      <c r="B196" s="2">
        <v>2025</v>
      </c>
      <c r="C196" s="2">
        <v>7</v>
      </c>
    </row>
    <row r="197" spans="1:3" x14ac:dyDescent="0.3">
      <c r="A197" s="1">
        <v>45853</v>
      </c>
      <c r="B197" s="2">
        <v>2025</v>
      </c>
      <c r="C197" s="2">
        <v>7</v>
      </c>
    </row>
    <row r="198" spans="1:3" x14ac:dyDescent="0.3">
      <c r="A198" s="1">
        <v>45854</v>
      </c>
      <c r="B198" s="2">
        <v>2025</v>
      </c>
      <c r="C198" s="2">
        <v>7</v>
      </c>
    </row>
    <row r="199" spans="1:3" x14ac:dyDescent="0.3">
      <c r="A199" s="1">
        <v>45855</v>
      </c>
      <c r="B199" s="2">
        <v>2025</v>
      </c>
      <c r="C199" s="2">
        <v>7</v>
      </c>
    </row>
    <row r="200" spans="1:3" x14ac:dyDescent="0.3">
      <c r="A200" s="1">
        <v>45856</v>
      </c>
      <c r="B200" s="2">
        <v>2025</v>
      </c>
      <c r="C200" s="2">
        <v>7</v>
      </c>
    </row>
    <row r="201" spans="1:3" x14ac:dyDescent="0.3">
      <c r="A201" s="1">
        <v>45857</v>
      </c>
      <c r="B201" s="2">
        <v>2025</v>
      </c>
      <c r="C201" s="2">
        <v>7</v>
      </c>
    </row>
    <row r="202" spans="1:3" x14ac:dyDescent="0.3">
      <c r="A202" s="1">
        <v>45858</v>
      </c>
      <c r="B202" s="2">
        <v>2025</v>
      </c>
      <c r="C202" s="2">
        <v>7</v>
      </c>
    </row>
    <row r="203" spans="1:3" x14ac:dyDescent="0.3">
      <c r="A203" s="1">
        <v>45859</v>
      </c>
      <c r="B203" s="2">
        <v>2025</v>
      </c>
      <c r="C203" s="2">
        <v>7</v>
      </c>
    </row>
    <row r="204" spans="1:3" x14ac:dyDescent="0.3">
      <c r="A204" s="1">
        <v>45860</v>
      </c>
      <c r="B204" s="2">
        <v>2025</v>
      </c>
      <c r="C204" s="2">
        <v>7</v>
      </c>
    </row>
    <row r="205" spans="1:3" x14ac:dyDescent="0.3">
      <c r="A205" s="1">
        <v>45861</v>
      </c>
      <c r="B205" s="2">
        <v>2025</v>
      </c>
      <c r="C205" s="2">
        <v>7</v>
      </c>
    </row>
    <row r="206" spans="1:3" x14ac:dyDescent="0.3">
      <c r="A206" s="1">
        <v>45862</v>
      </c>
      <c r="B206" s="2">
        <v>2025</v>
      </c>
      <c r="C206" s="2">
        <v>7</v>
      </c>
    </row>
    <row r="207" spans="1:3" x14ac:dyDescent="0.3">
      <c r="A207" s="1">
        <v>45863</v>
      </c>
      <c r="B207" s="2">
        <v>2025</v>
      </c>
      <c r="C207" s="2">
        <v>7</v>
      </c>
    </row>
    <row r="208" spans="1:3" x14ac:dyDescent="0.3">
      <c r="A208" s="1">
        <v>45864</v>
      </c>
      <c r="B208" s="2">
        <v>2025</v>
      </c>
      <c r="C208" s="2">
        <v>7</v>
      </c>
    </row>
    <row r="209" spans="1:3" x14ac:dyDescent="0.3">
      <c r="A209" s="1">
        <v>45865</v>
      </c>
      <c r="B209" s="2">
        <v>2025</v>
      </c>
      <c r="C209" s="2">
        <v>7</v>
      </c>
    </row>
    <row r="210" spans="1:3" x14ac:dyDescent="0.3">
      <c r="A210" s="1">
        <v>45866</v>
      </c>
      <c r="B210" s="2">
        <v>2025</v>
      </c>
      <c r="C210" s="2">
        <v>7</v>
      </c>
    </row>
    <row r="211" spans="1:3" x14ac:dyDescent="0.3">
      <c r="A211" s="1">
        <v>45867</v>
      </c>
      <c r="B211" s="2">
        <v>2025</v>
      </c>
      <c r="C211" s="2">
        <v>7</v>
      </c>
    </row>
    <row r="212" spans="1:3" x14ac:dyDescent="0.3">
      <c r="A212" s="1">
        <v>45868</v>
      </c>
      <c r="B212" s="2">
        <v>2025</v>
      </c>
      <c r="C212" s="2">
        <v>7</v>
      </c>
    </row>
    <row r="213" spans="1:3" x14ac:dyDescent="0.3">
      <c r="A213" s="1">
        <v>45869</v>
      </c>
      <c r="B213" s="2">
        <v>2025</v>
      </c>
      <c r="C213" s="2">
        <v>7</v>
      </c>
    </row>
    <row r="214" spans="1:3" x14ac:dyDescent="0.3">
      <c r="A214" s="1">
        <v>45870</v>
      </c>
      <c r="B214" s="2">
        <v>2025</v>
      </c>
      <c r="C214" s="2">
        <v>8</v>
      </c>
    </row>
    <row r="215" spans="1:3" x14ac:dyDescent="0.3">
      <c r="A215" s="1">
        <v>45871</v>
      </c>
      <c r="B215" s="2">
        <v>2025</v>
      </c>
      <c r="C215" s="2">
        <v>8</v>
      </c>
    </row>
    <row r="216" spans="1:3" x14ac:dyDescent="0.3">
      <c r="A216" s="1">
        <v>45872</v>
      </c>
      <c r="B216" s="2">
        <v>2025</v>
      </c>
      <c r="C216" s="2">
        <v>8</v>
      </c>
    </row>
    <row r="217" spans="1:3" x14ac:dyDescent="0.3">
      <c r="A217" s="1">
        <v>45873</v>
      </c>
      <c r="B217" s="2">
        <v>2025</v>
      </c>
      <c r="C217" s="2">
        <v>8</v>
      </c>
    </row>
    <row r="218" spans="1:3" x14ac:dyDescent="0.3">
      <c r="A218" s="1">
        <v>45874</v>
      </c>
      <c r="B218" s="2">
        <v>2025</v>
      </c>
      <c r="C218" s="2">
        <v>8</v>
      </c>
    </row>
    <row r="219" spans="1:3" x14ac:dyDescent="0.3">
      <c r="A219" s="1">
        <v>45875</v>
      </c>
      <c r="B219" s="2">
        <v>2025</v>
      </c>
      <c r="C219" s="2">
        <v>8</v>
      </c>
    </row>
    <row r="220" spans="1:3" x14ac:dyDescent="0.3">
      <c r="A220" s="1">
        <v>45876</v>
      </c>
      <c r="B220" s="2">
        <v>2025</v>
      </c>
      <c r="C220" s="2">
        <v>8</v>
      </c>
    </row>
    <row r="221" spans="1:3" x14ac:dyDescent="0.3">
      <c r="A221" s="1">
        <v>45877</v>
      </c>
      <c r="B221" s="2">
        <v>2025</v>
      </c>
      <c r="C221" s="2">
        <v>8</v>
      </c>
    </row>
    <row r="222" spans="1:3" x14ac:dyDescent="0.3">
      <c r="A222" s="1">
        <v>45878</v>
      </c>
      <c r="B222" s="2">
        <v>2025</v>
      </c>
      <c r="C222" s="2">
        <v>8</v>
      </c>
    </row>
    <row r="223" spans="1:3" x14ac:dyDescent="0.3">
      <c r="A223" s="1">
        <v>45879</v>
      </c>
      <c r="B223" s="2">
        <v>2025</v>
      </c>
      <c r="C223" s="2">
        <v>8</v>
      </c>
    </row>
    <row r="224" spans="1:3" x14ac:dyDescent="0.3">
      <c r="A224" s="1">
        <v>45880</v>
      </c>
      <c r="B224" s="2">
        <v>2025</v>
      </c>
      <c r="C224" s="2">
        <v>8</v>
      </c>
    </row>
    <row r="225" spans="1:3" x14ac:dyDescent="0.3">
      <c r="A225" s="1">
        <v>45881</v>
      </c>
      <c r="B225" s="2">
        <v>2025</v>
      </c>
      <c r="C225" s="2">
        <v>8</v>
      </c>
    </row>
    <row r="226" spans="1:3" x14ac:dyDescent="0.3">
      <c r="A226" s="1">
        <v>45882</v>
      </c>
      <c r="B226" s="2">
        <v>2025</v>
      </c>
      <c r="C226" s="2">
        <v>8</v>
      </c>
    </row>
    <row r="227" spans="1:3" x14ac:dyDescent="0.3">
      <c r="A227" s="1">
        <v>45883</v>
      </c>
      <c r="B227" s="2">
        <v>2025</v>
      </c>
      <c r="C227" s="2">
        <v>8</v>
      </c>
    </row>
    <row r="228" spans="1:3" x14ac:dyDescent="0.3">
      <c r="A228" s="1">
        <v>45884</v>
      </c>
      <c r="B228" s="2">
        <v>2025</v>
      </c>
      <c r="C228" s="2">
        <v>8</v>
      </c>
    </row>
    <row r="229" spans="1:3" x14ac:dyDescent="0.3">
      <c r="A229" s="1">
        <v>45885</v>
      </c>
      <c r="B229" s="2">
        <v>2025</v>
      </c>
      <c r="C229" s="2">
        <v>8</v>
      </c>
    </row>
    <row r="230" spans="1:3" x14ac:dyDescent="0.3">
      <c r="A230" s="1">
        <v>45886</v>
      </c>
      <c r="B230" s="2">
        <v>2025</v>
      </c>
      <c r="C230" s="2">
        <v>8</v>
      </c>
    </row>
    <row r="231" spans="1:3" x14ac:dyDescent="0.3">
      <c r="A231" s="1">
        <v>45887</v>
      </c>
      <c r="B231" s="2">
        <v>2025</v>
      </c>
      <c r="C231" s="2">
        <v>8</v>
      </c>
    </row>
    <row r="232" spans="1:3" x14ac:dyDescent="0.3">
      <c r="A232" s="1">
        <v>45888</v>
      </c>
      <c r="B232" s="2">
        <v>2025</v>
      </c>
      <c r="C232" s="2">
        <v>8</v>
      </c>
    </row>
    <row r="233" spans="1:3" x14ac:dyDescent="0.3">
      <c r="A233" s="1">
        <v>45889</v>
      </c>
      <c r="B233" s="2">
        <v>2025</v>
      </c>
      <c r="C233" s="2">
        <v>8</v>
      </c>
    </row>
    <row r="234" spans="1:3" x14ac:dyDescent="0.3">
      <c r="A234" s="1">
        <v>45890</v>
      </c>
      <c r="B234" s="2">
        <v>2025</v>
      </c>
      <c r="C234" s="2">
        <v>8</v>
      </c>
    </row>
    <row r="235" spans="1:3" x14ac:dyDescent="0.3">
      <c r="A235" s="1">
        <v>45891</v>
      </c>
      <c r="B235" s="2">
        <v>2025</v>
      </c>
      <c r="C235" s="2">
        <v>8</v>
      </c>
    </row>
    <row r="236" spans="1:3" x14ac:dyDescent="0.3">
      <c r="A236" s="1">
        <v>45892</v>
      </c>
      <c r="B236" s="2">
        <v>2025</v>
      </c>
      <c r="C236" s="2">
        <v>8</v>
      </c>
    </row>
    <row r="237" spans="1:3" x14ac:dyDescent="0.3">
      <c r="A237" s="1">
        <v>45893</v>
      </c>
      <c r="B237" s="2">
        <v>2025</v>
      </c>
      <c r="C237" s="2">
        <v>8</v>
      </c>
    </row>
    <row r="238" spans="1:3" x14ac:dyDescent="0.3">
      <c r="A238" s="1">
        <v>45894</v>
      </c>
      <c r="B238" s="2">
        <v>2025</v>
      </c>
      <c r="C238" s="2">
        <v>8</v>
      </c>
    </row>
    <row r="239" spans="1:3" x14ac:dyDescent="0.3">
      <c r="A239" s="1">
        <v>45895</v>
      </c>
      <c r="B239" s="2">
        <v>2025</v>
      </c>
      <c r="C239" s="2">
        <v>8</v>
      </c>
    </row>
    <row r="240" spans="1:3" x14ac:dyDescent="0.3">
      <c r="A240" s="1">
        <v>45896</v>
      </c>
      <c r="B240" s="2">
        <v>2025</v>
      </c>
      <c r="C240" s="2">
        <v>8</v>
      </c>
    </row>
    <row r="241" spans="1:3" x14ac:dyDescent="0.3">
      <c r="A241" s="1">
        <v>45897</v>
      </c>
      <c r="B241" s="2">
        <v>2025</v>
      </c>
      <c r="C241" s="2">
        <v>8</v>
      </c>
    </row>
    <row r="242" spans="1:3" x14ac:dyDescent="0.3">
      <c r="A242" s="1">
        <v>45898</v>
      </c>
      <c r="B242" s="2">
        <v>2025</v>
      </c>
      <c r="C242" s="2">
        <v>8</v>
      </c>
    </row>
    <row r="243" spans="1:3" x14ac:dyDescent="0.3">
      <c r="A243" s="1">
        <v>45899</v>
      </c>
      <c r="B243" s="2">
        <v>2025</v>
      </c>
      <c r="C243" s="2">
        <v>8</v>
      </c>
    </row>
    <row r="244" spans="1:3" x14ac:dyDescent="0.3">
      <c r="A244" s="1">
        <v>45900</v>
      </c>
      <c r="B244" s="2">
        <v>2025</v>
      </c>
      <c r="C244" s="2">
        <v>8</v>
      </c>
    </row>
    <row r="245" spans="1:3" x14ac:dyDescent="0.3">
      <c r="A245" s="1">
        <v>45901</v>
      </c>
      <c r="B245" s="2">
        <v>2025</v>
      </c>
      <c r="C245" s="2">
        <v>9</v>
      </c>
    </row>
    <row r="246" spans="1:3" x14ac:dyDescent="0.3">
      <c r="A246" s="1">
        <v>45902</v>
      </c>
      <c r="B246" s="2">
        <v>2025</v>
      </c>
      <c r="C246" s="2">
        <v>9</v>
      </c>
    </row>
    <row r="247" spans="1:3" x14ac:dyDescent="0.3">
      <c r="A247" s="1">
        <v>45903</v>
      </c>
      <c r="B247" s="2">
        <v>2025</v>
      </c>
      <c r="C247" s="2">
        <v>9</v>
      </c>
    </row>
    <row r="248" spans="1:3" x14ac:dyDescent="0.3">
      <c r="A248" s="1">
        <v>45904</v>
      </c>
      <c r="B248" s="2">
        <v>2025</v>
      </c>
      <c r="C248" s="2">
        <v>9</v>
      </c>
    </row>
    <row r="249" spans="1:3" x14ac:dyDescent="0.3">
      <c r="A249" s="1">
        <v>45905</v>
      </c>
      <c r="B249" s="2">
        <v>2025</v>
      </c>
      <c r="C249" s="2">
        <v>9</v>
      </c>
    </row>
    <row r="250" spans="1:3" x14ac:dyDescent="0.3">
      <c r="A250" s="1">
        <v>45906</v>
      </c>
      <c r="B250" s="2">
        <v>2025</v>
      </c>
      <c r="C250" s="2">
        <v>9</v>
      </c>
    </row>
    <row r="251" spans="1:3" x14ac:dyDescent="0.3">
      <c r="A251" s="1">
        <v>45907</v>
      </c>
      <c r="B251" s="2">
        <v>2025</v>
      </c>
      <c r="C251" s="2">
        <v>9</v>
      </c>
    </row>
    <row r="252" spans="1:3" x14ac:dyDescent="0.3">
      <c r="A252" s="1">
        <v>45908</v>
      </c>
      <c r="B252" s="2">
        <v>2025</v>
      </c>
      <c r="C252" s="2">
        <v>9</v>
      </c>
    </row>
    <row r="253" spans="1:3" x14ac:dyDescent="0.3">
      <c r="A253" s="1">
        <v>45909</v>
      </c>
      <c r="B253" s="2">
        <v>2025</v>
      </c>
      <c r="C253" s="2">
        <v>9</v>
      </c>
    </row>
    <row r="254" spans="1:3" x14ac:dyDescent="0.3">
      <c r="A254" s="1">
        <v>45910</v>
      </c>
      <c r="B254" s="2">
        <v>2025</v>
      </c>
      <c r="C254" s="2">
        <v>9</v>
      </c>
    </row>
    <row r="255" spans="1:3" x14ac:dyDescent="0.3">
      <c r="A255" s="1">
        <v>45911</v>
      </c>
      <c r="B255" s="2">
        <v>2025</v>
      </c>
      <c r="C255" s="2">
        <v>9</v>
      </c>
    </row>
    <row r="256" spans="1:3" x14ac:dyDescent="0.3">
      <c r="A256" s="1">
        <v>45912</v>
      </c>
      <c r="B256" s="2">
        <v>2025</v>
      </c>
      <c r="C256" s="2">
        <v>9</v>
      </c>
    </row>
    <row r="257" spans="1:3" x14ac:dyDescent="0.3">
      <c r="A257" s="1">
        <v>45913</v>
      </c>
      <c r="B257" s="2">
        <v>2025</v>
      </c>
      <c r="C257" s="2">
        <v>9</v>
      </c>
    </row>
    <row r="258" spans="1:3" x14ac:dyDescent="0.3">
      <c r="A258" s="1">
        <v>45914</v>
      </c>
      <c r="B258" s="2">
        <v>2025</v>
      </c>
      <c r="C258" s="2">
        <v>9</v>
      </c>
    </row>
    <row r="259" spans="1:3" x14ac:dyDescent="0.3">
      <c r="A259" s="1">
        <v>45915</v>
      </c>
      <c r="B259" s="2">
        <v>2025</v>
      </c>
      <c r="C259" s="2">
        <v>9</v>
      </c>
    </row>
    <row r="260" spans="1:3" x14ac:dyDescent="0.3">
      <c r="A260" s="1">
        <v>45916</v>
      </c>
      <c r="B260" s="2">
        <v>2025</v>
      </c>
      <c r="C260" s="2">
        <v>9</v>
      </c>
    </row>
    <row r="261" spans="1:3" x14ac:dyDescent="0.3">
      <c r="A261" s="1">
        <v>45917</v>
      </c>
      <c r="B261" s="2">
        <v>2025</v>
      </c>
      <c r="C261" s="2">
        <v>9</v>
      </c>
    </row>
    <row r="262" spans="1:3" x14ac:dyDescent="0.3">
      <c r="A262" s="1">
        <v>45918</v>
      </c>
      <c r="B262" s="2">
        <v>2025</v>
      </c>
      <c r="C262" s="2">
        <v>9</v>
      </c>
    </row>
    <row r="263" spans="1:3" x14ac:dyDescent="0.3">
      <c r="A263" s="1">
        <v>45919</v>
      </c>
      <c r="B263" s="2">
        <v>2025</v>
      </c>
      <c r="C263" s="2">
        <v>9</v>
      </c>
    </row>
    <row r="264" spans="1:3" x14ac:dyDescent="0.3">
      <c r="A264" s="1">
        <v>45920</v>
      </c>
      <c r="B264" s="2">
        <v>2025</v>
      </c>
      <c r="C264" s="2">
        <v>9</v>
      </c>
    </row>
    <row r="265" spans="1:3" x14ac:dyDescent="0.3">
      <c r="A265" s="1">
        <v>45921</v>
      </c>
      <c r="B265" s="2">
        <v>2025</v>
      </c>
      <c r="C265" s="2">
        <v>9</v>
      </c>
    </row>
    <row r="266" spans="1:3" x14ac:dyDescent="0.3">
      <c r="A266" s="1">
        <v>45922</v>
      </c>
      <c r="B266" s="2">
        <v>2025</v>
      </c>
      <c r="C266" s="2">
        <v>9</v>
      </c>
    </row>
    <row r="267" spans="1:3" x14ac:dyDescent="0.3">
      <c r="A267" s="1">
        <v>45923</v>
      </c>
      <c r="B267" s="2">
        <v>2025</v>
      </c>
      <c r="C267" s="2">
        <v>9</v>
      </c>
    </row>
    <row r="268" spans="1:3" x14ac:dyDescent="0.3">
      <c r="A268" s="1">
        <v>45924</v>
      </c>
      <c r="B268" s="2">
        <v>2025</v>
      </c>
      <c r="C268" s="2">
        <v>9</v>
      </c>
    </row>
    <row r="269" spans="1:3" x14ac:dyDescent="0.3">
      <c r="A269" s="1">
        <v>45925</v>
      </c>
      <c r="B269" s="2">
        <v>2025</v>
      </c>
      <c r="C269" s="2">
        <v>9</v>
      </c>
    </row>
    <row r="270" spans="1:3" x14ac:dyDescent="0.3">
      <c r="A270" s="1">
        <v>45926</v>
      </c>
      <c r="B270" s="2">
        <v>2025</v>
      </c>
      <c r="C270" s="2">
        <v>9</v>
      </c>
    </row>
    <row r="271" spans="1:3" x14ac:dyDescent="0.3">
      <c r="A271" s="1">
        <v>45927</v>
      </c>
      <c r="B271" s="2">
        <v>2025</v>
      </c>
      <c r="C271" s="2">
        <v>9</v>
      </c>
    </row>
    <row r="272" spans="1:3" x14ac:dyDescent="0.3">
      <c r="A272" s="1">
        <v>45928</v>
      </c>
      <c r="B272" s="2">
        <v>2025</v>
      </c>
      <c r="C272" s="2">
        <v>9</v>
      </c>
    </row>
    <row r="273" spans="1:3" x14ac:dyDescent="0.3">
      <c r="A273" s="1">
        <v>45929</v>
      </c>
      <c r="B273" s="2">
        <v>2025</v>
      </c>
      <c r="C273" s="2">
        <v>9</v>
      </c>
    </row>
    <row r="274" spans="1:3" x14ac:dyDescent="0.3">
      <c r="A274" s="1">
        <v>45930</v>
      </c>
      <c r="B274" s="2">
        <v>2025</v>
      </c>
      <c r="C274" s="2">
        <v>9</v>
      </c>
    </row>
    <row r="275" spans="1:3" x14ac:dyDescent="0.3">
      <c r="A275" s="1">
        <v>45931</v>
      </c>
      <c r="B275" s="2">
        <v>2025</v>
      </c>
      <c r="C275" s="2">
        <v>10</v>
      </c>
    </row>
    <row r="276" spans="1:3" x14ac:dyDescent="0.3">
      <c r="A276" s="1">
        <v>45932</v>
      </c>
      <c r="B276" s="2">
        <v>2025</v>
      </c>
      <c r="C276" s="2">
        <v>10</v>
      </c>
    </row>
    <row r="277" spans="1:3" x14ac:dyDescent="0.3">
      <c r="A277" s="1">
        <v>45933</v>
      </c>
      <c r="B277" s="2">
        <v>2025</v>
      </c>
      <c r="C277" s="2">
        <v>10</v>
      </c>
    </row>
    <row r="278" spans="1:3" x14ac:dyDescent="0.3">
      <c r="A278" s="1">
        <v>45934</v>
      </c>
      <c r="B278" s="2">
        <v>2025</v>
      </c>
      <c r="C278" s="2">
        <v>10</v>
      </c>
    </row>
    <row r="279" spans="1:3" x14ac:dyDescent="0.3">
      <c r="A279" s="1">
        <v>45935</v>
      </c>
      <c r="B279" s="2">
        <v>2025</v>
      </c>
      <c r="C279" s="2">
        <v>10</v>
      </c>
    </row>
    <row r="280" spans="1:3" x14ac:dyDescent="0.3">
      <c r="A280" s="1">
        <v>45936</v>
      </c>
      <c r="B280" s="2">
        <v>2025</v>
      </c>
      <c r="C280" s="2">
        <v>10</v>
      </c>
    </row>
    <row r="281" spans="1:3" x14ac:dyDescent="0.3">
      <c r="A281" s="1">
        <v>45937</v>
      </c>
      <c r="B281" s="2">
        <v>2025</v>
      </c>
      <c r="C281" s="2">
        <v>10</v>
      </c>
    </row>
    <row r="282" spans="1:3" x14ac:dyDescent="0.3">
      <c r="A282" s="1">
        <v>45938</v>
      </c>
      <c r="B282" s="2">
        <v>2025</v>
      </c>
      <c r="C282" s="2">
        <v>10</v>
      </c>
    </row>
    <row r="283" spans="1:3" x14ac:dyDescent="0.3">
      <c r="A283" s="1">
        <v>45939</v>
      </c>
      <c r="B283" s="2">
        <v>2025</v>
      </c>
      <c r="C283" s="2">
        <v>10</v>
      </c>
    </row>
    <row r="284" spans="1:3" x14ac:dyDescent="0.3">
      <c r="A284" s="1">
        <v>45940</v>
      </c>
      <c r="B284" s="2">
        <v>2025</v>
      </c>
      <c r="C284" s="2">
        <v>10</v>
      </c>
    </row>
    <row r="285" spans="1:3" x14ac:dyDescent="0.3">
      <c r="A285" s="1">
        <v>45941</v>
      </c>
      <c r="B285" s="2">
        <v>2025</v>
      </c>
      <c r="C285" s="2">
        <v>10</v>
      </c>
    </row>
    <row r="286" spans="1:3" x14ac:dyDescent="0.3">
      <c r="A286" s="1">
        <v>45942</v>
      </c>
      <c r="B286" s="2">
        <v>2025</v>
      </c>
      <c r="C286" s="2">
        <v>10</v>
      </c>
    </row>
    <row r="287" spans="1:3" x14ac:dyDescent="0.3">
      <c r="A287" s="1">
        <v>45943</v>
      </c>
      <c r="B287" s="2">
        <v>2025</v>
      </c>
      <c r="C287" s="2">
        <v>10</v>
      </c>
    </row>
    <row r="288" spans="1:3" x14ac:dyDescent="0.3">
      <c r="A288" s="1">
        <v>45944</v>
      </c>
      <c r="B288" s="2">
        <v>2025</v>
      </c>
      <c r="C288" s="2">
        <v>10</v>
      </c>
    </row>
    <row r="289" spans="1:3" x14ac:dyDescent="0.3">
      <c r="A289" s="1">
        <v>45945</v>
      </c>
      <c r="B289" s="2">
        <v>2025</v>
      </c>
      <c r="C289" s="2">
        <v>10</v>
      </c>
    </row>
    <row r="290" spans="1:3" x14ac:dyDescent="0.3">
      <c r="A290" s="1">
        <v>45946</v>
      </c>
      <c r="B290" s="2">
        <v>2025</v>
      </c>
      <c r="C290" s="2">
        <v>10</v>
      </c>
    </row>
    <row r="291" spans="1:3" x14ac:dyDescent="0.3">
      <c r="A291" s="1">
        <v>45947</v>
      </c>
      <c r="B291" s="2">
        <v>2025</v>
      </c>
      <c r="C291" s="2">
        <v>10</v>
      </c>
    </row>
    <row r="292" spans="1:3" x14ac:dyDescent="0.3">
      <c r="A292" s="1">
        <v>45948</v>
      </c>
      <c r="B292" s="2">
        <v>2025</v>
      </c>
      <c r="C292" s="2">
        <v>10</v>
      </c>
    </row>
    <row r="293" spans="1:3" x14ac:dyDescent="0.3">
      <c r="A293" s="1">
        <v>45949</v>
      </c>
      <c r="B293" s="2">
        <v>2025</v>
      </c>
      <c r="C293" s="2">
        <v>10</v>
      </c>
    </row>
    <row r="294" spans="1:3" x14ac:dyDescent="0.3">
      <c r="A294" s="1">
        <v>45950</v>
      </c>
      <c r="B294" s="2">
        <v>2025</v>
      </c>
      <c r="C294" s="2">
        <v>10</v>
      </c>
    </row>
    <row r="295" spans="1:3" x14ac:dyDescent="0.3">
      <c r="A295" s="1">
        <v>45951</v>
      </c>
      <c r="B295" s="2">
        <v>2025</v>
      </c>
      <c r="C295" s="2">
        <v>10</v>
      </c>
    </row>
    <row r="296" spans="1:3" x14ac:dyDescent="0.3">
      <c r="A296" s="1">
        <v>45952</v>
      </c>
      <c r="B296" s="2">
        <v>2025</v>
      </c>
      <c r="C296" s="2">
        <v>10</v>
      </c>
    </row>
    <row r="297" spans="1:3" x14ac:dyDescent="0.3">
      <c r="A297" s="1">
        <v>45953</v>
      </c>
      <c r="B297" s="2">
        <v>2025</v>
      </c>
      <c r="C297" s="2">
        <v>10</v>
      </c>
    </row>
    <row r="298" spans="1:3" x14ac:dyDescent="0.3">
      <c r="A298" s="1">
        <v>45954</v>
      </c>
      <c r="B298" s="2">
        <v>2025</v>
      </c>
      <c r="C298" s="2">
        <v>10</v>
      </c>
    </row>
    <row r="299" spans="1:3" x14ac:dyDescent="0.3">
      <c r="A299" s="1">
        <v>45955</v>
      </c>
      <c r="B299" s="2">
        <v>2025</v>
      </c>
      <c r="C299" s="2">
        <v>10</v>
      </c>
    </row>
    <row r="300" spans="1:3" x14ac:dyDescent="0.3">
      <c r="A300" s="1">
        <v>45956</v>
      </c>
      <c r="B300" s="2">
        <v>2025</v>
      </c>
      <c r="C300" s="2">
        <v>10</v>
      </c>
    </row>
    <row r="301" spans="1:3" x14ac:dyDescent="0.3">
      <c r="A301" s="1">
        <v>45957</v>
      </c>
      <c r="B301" s="2">
        <v>2025</v>
      </c>
      <c r="C301" s="2">
        <v>10</v>
      </c>
    </row>
    <row r="302" spans="1:3" x14ac:dyDescent="0.3">
      <c r="A302" s="1">
        <v>45958</v>
      </c>
      <c r="B302" s="2">
        <v>2025</v>
      </c>
      <c r="C302" s="2">
        <v>10</v>
      </c>
    </row>
    <row r="303" spans="1:3" x14ac:dyDescent="0.3">
      <c r="A303" s="1">
        <v>45959</v>
      </c>
      <c r="B303" s="2">
        <v>2025</v>
      </c>
      <c r="C303" s="2">
        <v>10</v>
      </c>
    </row>
    <row r="304" spans="1:3" x14ac:dyDescent="0.3">
      <c r="A304" s="1">
        <v>45960</v>
      </c>
      <c r="B304" s="2">
        <v>2025</v>
      </c>
      <c r="C304" s="2">
        <v>10</v>
      </c>
    </row>
    <row r="305" spans="1:3" x14ac:dyDescent="0.3">
      <c r="A305" s="1">
        <v>45961</v>
      </c>
      <c r="B305" s="2">
        <v>2025</v>
      </c>
      <c r="C305" s="2">
        <v>10</v>
      </c>
    </row>
    <row r="306" spans="1:3" x14ac:dyDescent="0.3">
      <c r="A306" s="1">
        <v>45962</v>
      </c>
      <c r="B306" s="2">
        <v>2025</v>
      </c>
      <c r="C306" s="2">
        <v>11</v>
      </c>
    </row>
    <row r="307" spans="1:3" x14ac:dyDescent="0.3">
      <c r="A307" s="1">
        <v>45963</v>
      </c>
      <c r="B307" s="2">
        <v>2025</v>
      </c>
      <c r="C307" s="2">
        <v>11</v>
      </c>
    </row>
    <row r="308" spans="1:3" x14ac:dyDescent="0.3">
      <c r="A308" s="1">
        <v>45964</v>
      </c>
      <c r="B308" s="2">
        <v>2025</v>
      </c>
      <c r="C308" s="2">
        <v>11</v>
      </c>
    </row>
    <row r="309" spans="1:3" x14ac:dyDescent="0.3">
      <c r="A309" s="1">
        <v>45965</v>
      </c>
      <c r="B309" s="2">
        <v>2025</v>
      </c>
      <c r="C309" s="2">
        <v>11</v>
      </c>
    </row>
    <row r="310" spans="1:3" x14ac:dyDescent="0.3">
      <c r="A310" s="1">
        <v>45966</v>
      </c>
      <c r="B310" s="2">
        <v>2025</v>
      </c>
      <c r="C310" s="2">
        <v>11</v>
      </c>
    </row>
    <row r="311" spans="1:3" x14ac:dyDescent="0.3">
      <c r="A311" s="1">
        <v>45967</v>
      </c>
      <c r="B311" s="2">
        <v>2025</v>
      </c>
      <c r="C311" s="2">
        <v>11</v>
      </c>
    </row>
    <row r="312" spans="1:3" x14ac:dyDescent="0.3">
      <c r="A312" s="1">
        <v>45968</v>
      </c>
      <c r="B312" s="2">
        <v>2025</v>
      </c>
      <c r="C312" s="2">
        <v>11</v>
      </c>
    </row>
    <row r="313" spans="1:3" x14ac:dyDescent="0.3">
      <c r="A313" s="1">
        <v>45969</v>
      </c>
      <c r="B313" s="2">
        <v>2025</v>
      </c>
      <c r="C313" s="2">
        <v>11</v>
      </c>
    </row>
    <row r="314" spans="1:3" x14ac:dyDescent="0.3">
      <c r="A314" s="1">
        <v>45970</v>
      </c>
      <c r="B314" s="2">
        <v>2025</v>
      </c>
      <c r="C314" s="2">
        <v>11</v>
      </c>
    </row>
    <row r="315" spans="1:3" x14ac:dyDescent="0.3">
      <c r="A315" s="1">
        <v>45971</v>
      </c>
      <c r="B315" s="2">
        <v>2025</v>
      </c>
      <c r="C315" s="2">
        <v>11</v>
      </c>
    </row>
    <row r="316" spans="1:3" x14ac:dyDescent="0.3">
      <c r="A316" s="1">
        <v>45972</v>
      </c>
      <c r="B316" s="2">
        <v>2025</v>
      </c>
      <c r="C316" s="2">
        <v>11</v>
      </c>
    </row>
    <row r="317" spans="1:3" x14ac:dyDescent="0.3">
      <c r="A317" s="1">
        <v>45973</v>
      </c>
      <c r="B317" s="2">
        <v>2025</v>
      </c>
      <c r="C317" s="2">
        <v>11</v>
      </c>
    </row>
    <row r="318" spans="1:3" x14ac:dyDescent="0.3">
      <c r="A318" s="1">
        <v>45974</v>
      </c>
      <c r="B318" s="2">
        <v>2025</v>
      </c>
      <c r="C318" s="2">
        <v>11</v>
      </c>
    </row>
    <row r="319" spans="1:3" x14ac:dyDescent="0.3">
      <c r="A319" s="1">
        <v>45975</v>
      </c>
      <c r="B319" s="2">
        <v>2025</v>
      </c>
      <c r="C319" s="2">
        <v>11</v>
      </c>
    </row>
    <row r="320" spans="1:3" x14ac:dyDescent="0.3">
      <c r="A320" s="1">
        <v>45976</v>
      </c>
      <c r="B320" s="2">
        <v>2025</v>
      </c>
      <c r="C320" s="2">
        <v>11</v>
      </c>
    </row>
    <row r="321" spans="1:3" x14ac:dyDescent="0.3">
      <c r="A321" s="1">
        <v>45977</v>
      </c>
      <c r="B321" s="2">
        <v>2025</v>
      </c>
      <c r="C321" s="2">
        <v>11</v>
      </c>
    </row>
    <row r="322" spans="1:3" x14ac:dyDescent="0.3">
      <c r="A322" s="1">
        <v>45978</v>
      </c>
      <c r="B322" s="2">
        <v>2025</v>
      </c>
      <c r="C322" s="2">
        <v>11</v>
      </c>
    </row>
    <row r="323" spans="1:3" x14ac:dyDescent="0.3">
      <c r="A323" s="1">
        <v>45979</v>
      </c>
      <c r="B323" s="2">
        <v>2025</v>
      </c>
      <c r="C323" s="2">
        <v>11</v>
      </c>
    </row>
    <row r="324" spans="1:3" x14ac:dyDescent="0.3">
      <c r="A324" s="1">
        <v>45980</v>
      </c>
      <c r="B324" s="2">
        <v>2025</v>
      </c>
      <c r="C324" s="2">
        <v>11</v>
      </c>
    </row>
    <row r="325" spans="1:3" x14ac:dyDescent="0.3">
      <c r="A325" s="1">
        <v>45981</v>
      </c>
      <c r="B325" s="2">
        <v>2025</v>
      </c>
      <c r="C325" s="2">
        <v>11</v>
      </c>
    </row>
    <row r="326" spans="1:3" x14ac:dyDescent="0.3">
      <c r="A326" s="1">
        <v>45982</v>
      </c>
      <c r="B326" s="2">
        <v>2025</v>
      </c>
      <c r="C326" s="2">
        <v>11</v>
      </c>
    </row>
    <row r="327" spans="1:3" x14ac:dyDescent="0.3">
      <c r="A327" s="1">
        <v>45983</v>
      </c>
      <c r="B327" s="2">
        <v>2025</v>
      </c>
      <c r="C327" s="2">
        <v>11</v>
      </c>
    </row>
    <row r="328" spans="1:3" x14ac:dyDescent="0.3">
      <c r="A328" s="1">
        <v>45984</v>
      </c>
      <c r="B328" s="2">
        <v>2025</v>
      </c>
      <c r="C328" s="2">
        <v>11</v>
      </c>
    </row>
    <row r="329" spans="1:3" x14ac:dyDescent="0.3">
      <c r="A329" s="1">
        <v>45985</v>
      </c>
      <c r="B329" s="2">
        <v>2025</v>
      </c>
      <c r="C329" s="2">
        <v>11</v>
      </c>
    </row>
    <row r="330" spans="1:3" x14ac:dyDescent="0.3">
      <c r="A330" s="1">
        <v>45986</v>
      </c>
      <c r="B330" s="2">
        <v>2025</v>
      </c>
      <c r="C330" s="2">
        <v>11</v>
      </c>
    </row>
    <row r="331" spans="1:3" x14ac:dyDescent="0.3">
      <c r="A331" s="1">
        <v>45987</v>
      </c>
      <c r="B331" s="2">
        <v>2025</v>
      </c>
      <c r="C331" s="2">
        <v>11</v>
      </c>
    </row>
    <row r="332" spans="1:3" x14ac:dyDescent="0.3">
      <c r="A332" s="1">
        <v>45988</v>
      </c>
      <c r="B332" s="2">
        <v>2025</v>
      </c>
      <c r="C332" s="2">
        <v>11</v>
      </c>
    </row>
    <row r="333" spans="1:3" x14ac:dyDescent="0.3">
      <c r="A333" s="1">
        <v>45989</v>
      </c>
      <c r="B333" s="2">
        <v>2025</v>
      </c>
      <c r="C333" s="2">
        <v>11</v>
      </c>
    </row>
    <row r="334" spans="1:3" x14ac:dyDescent="0.3">
      <c r="A334" s="1">
        <v>45990</v>
      </c>
      <c r="B334" s="2">
        <v>2025</v>
      </c>
      <c r="C334" s="2">
        <v>11</v>
      </c>
    </row>
    <row r="335" spans="1:3" x14ac:dyDescent="0.3">
      <c r="A335" s="1">
        <v>45991</v>
      </c>
      <c r="B335" s="2">
        <v>2025</v>
      </c>
      <c r="C335" s="2">
        <v>11</v>
      </c>
    </row>
    <row r="336" spans="1:3" x14ac:dyDescent="0.3">
      <c r="A336" s="1">
        <v>45992</v>
      </c>
      <c r="B336" s="2">
        <v>2025</v>
      </c>
      <c r="C336" s="2">
        <v>12</v>
      </c>
    </row>
    <row r="337" spans="1:3" x14ac:dyDescent="0.3">
      <c r="A337" s="1">
        <v>45993</v>
      </c>
      <c r="B337" s="2">
        <v>2025</v>
      </c>
      <c r="C337" s="2">
        <v>12</v>
      </c>
    </row>
    <row r="338" spans="1:3" x14ac:dyDescent="0.3">
      <c r="A338" s="1">
        <v>45994</v>
      </c>
      <c r="B338" s="2">
        <v>2025</v>
      </c>
      <c r="C338" s="2">
        <v>12</v>
      </c>
    </row>
    <row r="339" spans="1:3" x14ac:dyDescent="0.3">
      <c r="A339" s="1">
        <v>45995</v>
      </c>
      <c r="B339" s="2">
        <v>2025</v>
      </c>
      <c r="C339" s="2">
        <v>12</v>
      </c>
    </row>
    <row r="340" spans="1:3" x14ac:dyDescent="0.3">
      <c r="A340" s="1">
        <v>45996</v>
      </c>
      <c r="B340" s="2">
        <v>2025</v>
      </c>
      <c r="C340" s="2">
        <v>12</v>
      </c>
    </row>
    <row r="341" spans="1:3" x14ac:dyDescent="0.3">
      <c r="A341" s="1">
        <v>45997</v>
      </c>
      <c r="B341" s="2">
        <v>2025</v>
      </c>
      <c r="C341" s="2">
        <v>12</v>
      </c>
    </row>
    <row r="342" spans="1:3" x14ac:dyDescent="0.3">
      <c r="A342" s="1">
        <v>45998</v>
      </c>
      <c r="B342" s="2">
        <v>2025</v>
      </c>
      <c r="C342" s="2">
        <v>12</v>
      </c>
    </row>
    <row r="343" spans="1:3" x14ac:dyDescent="0.3">
      <c r="A343" s="1">
        <v>45999</v>
      </c>
      <c r="B343" s="2">
        <v>2025</v>
      </c>
      <c r="C343" s="2">
        <v>12</v>
      </c>
    </row>
    <row r="344" spans="1:3" x14ac:dyDescent="0.3">
      <c r="A344" s="1">
        <v>46000</v>
      </c>
      <c r="B344" s="2">
        <v>2025</v>
      </c>
      <c r="C344" s="2">
        <v>12</v>
      </c>
    </row>
    <row r="345" spans="1:3" x14ac:dyDescent="0.3">
      <c r="A345" s="1">
        <v>46001</v>
      </c>
      <c r="B345" s="2">
        <v>2025</v>
      </c>
      <c r="C345" s="2">
        <v>12</v>
      </c>
    </row>
    <row r="346" spans="1:3" x14ac:dyDescent="0.3">
      <c r="A346" s="1">
        <v>46002</v>
      </c>
      <c r="B346" s="2">
        <v>2025</v>
      </c>
      <c r="C346" s="2">
        <v>12</v>
      </c>
    </row>
    <row r="347" spans="1:3" x14ac:dyDescent="0.3">
      <c r="A347" s="1">
        <v>46003</v>
      </c>
      <c r="B347" s="2">
        <v>2025</v>
      </c>
      <c r="C347" s="2">
        <v>12</v>
      </c>
    </row>
    <row r="348" spans="1:3" x14ac:dyDescent="0.3">
      <c r="A348" s="1">
        <v>46004</v>
      </c>
      <c r="B348" s="2">
        <v>2025</v>
      </c>
      <c r="C348" s="2">
        <v>12</v>
      </c>
    </row>
    <row r="349" spans="1:3" x14ac:dyDescent="0.3">
      <c r="A349" s="1">
        <v>46005</v>
      </c>
      <c r="B349" s="2">
        <v>2025</v>
      </c>
      <c r="C349" s="2">
        <v>12</v>
      </c>
    </row>
    <row r="350" spans="1:3" x14ac:dyDescent="0.3">
      <c r="A350" s="1">
        <v>46006</v>
      </c>
      <c r="B350" s="2">
        <v>2025</v>
      </c>
      <c r="C350" s="2">
        <v>12</v>
      </c>
    </row>
    <row r="351" spans="1:3" x14ac:dyDescent="0.3">
      <c r="A351" s="1">
        <v>46007</v>
      </c>
      <c r="B351" s="2">
        <v>2025</v>
      </c>
      <c r="C351" s="2">
        <v>12</v>
      </c>
    </row>
    <row r="352" spans="1:3" x14ac:dyDescent="0.3">
      <c r="A352" s="1">
        <v>46008</v>
      </c>
      <c r="B352" s="2">
        <v>2025</v>
      </c>
      <c r="C352" s="2">
        <v>12</v>
      </c>
    </row>
    <row r="353" spans="1:3" x14ac:dyDescent="0.3">
      <c r="A353" s="1">
        <v>46009</v>
      </c>
      <c r="B353" s="2">
        <v>2025</v>
      </c>
      <c r="C353" s="2">
        <v>12</v>
      </c>
    </row>
    <row r="354" spans="1:3" x14ac:dyDescent="0.3">
      <c r="A354" s="1">
        <v>46010</v>
      </c>
      <c r="B354" s="2">
        <v>2025</v>
      </c>
      <c r="C354" s="2">
        <v>12</v>
      </c>
    </row>
    <row r="355" spans="1:3" x14ac:dyDescent="0.3">
      <c r="A355" s="1">
        <v>46011</v>
      </c>
      <c r="B355" s="2">
        <v>2025</v>
      </c>
      <c r="C355" s="2">
        <v>12</v>
      </c>
    </row>
    <row r="356" spans="1:3" x14ac:dyDescent="0.3">
      <c r="A356" s="1">
        <v>46012</v>
      </c>
      <c r="B356" s="2">
        <v>2025</v>
      </c>
      <c r="C356" s="2">
        <v>12</v>
      </c>
    </row>
    <row r="357" spans="1:3" x14ac:dyDescent="0.3">
      <c r="A357" s="1">
        <v>46013</v>
      </c>
      <c r="B357" s="2">
        <v>2025</v>
      </c>
      <c r="C357" s="2">
        <v>12</v>
      </c>
    </row>
    <row r="358" spans="1:3" x14ac:dyDescent="0.3">
      <c r="A358" s="1">
        <v>46014</v>
      </c>
      <c r="B358" s="2">
        <v>2025</v>
      </c>
      <c r="C358" s="2">
        <v>12</v>
      </c>
    </row>
    <row r="359" spans="1:3" x14ac:dyDescent="0.3">
      <c r="A359" s="1">
        <v>46015</v>
      </c>
      <c r="B359" s="2">
        <v>2025</v>
      </c>
      <c r="C359" s="2">
        <v>12</v>
      </c>
    </row>
    <row r="360" spans="1:3" x14ac:dyDescent="0.3">
      <c r="A360" s="1">
        <v>46016</v>
      </c>
      <c r="B360" s="2">
        <v>2025</v>
      </c>
      <c r="C360" s="2">
        <v>12</v>
      </c>
    </row>
    <row r="361" spans="1:3" x14ac:dyDescent="0.3">
      <c r="A361" s="1">
        <v>46017</v>
      </c>
      <c r="B361" s="2">
        <v>2025</v>
      </c>
      <c r="C361" s="2">
        <v>12</v>
      </c>
    </row>
    <row r="362" spans="1:3" x14ac:dyDescent="0.3">
      <c r="A362" s="1">
        <v>46018</v>
      </c>
      <c r="B362" s="2">
        <v>2025</v>
      </c>
      <c r="C362" s="2">
        <v>12</v>
      </c>
    </row>
    <row r="363" spans="1:3" x14ac:dyDescent="0.3">
      <c r="A363" s="1">
        <v>46019</v>
      </c>
      <c r="B363" s="2">
        <v>2025</v>
      </c>
      <c r="C363" s="2">
        <v>12</v>
      </c>
    </row>
    <row r="364" spans="1:3" x14ac:dyDescent="0.3">
      <c r="A364" s="1">
        <v>46020</v>
      </c>
      <c r="B364" s="2">
        <v>2025</v>
      </c>
      <c r="C364" s="2">
        <v>12</v>
      </c>
    </row>
    <row r="365" spans="1:3" x14ac:dyDescent="0.3">
      <c r="A365" s="1">
        <v>46021</v>
      </c>
      <c r="B365" s="2">
        <v>2025</v>
      </c>
      <c r="C365" s="2">
        <v>12</v>
      </c>
    </row>
    <row r="366" spans="1:3" x14ac:dyDescent="0.3">
      <c r="A366" s="1">
        <v>46022</v>
      </c>
      <c r="B366" s="2">
        <v>2025</v>
      </c>
      <c r="C366" s="2">
        <v>12</v>
      </c>
    </row>
    <row r="367" spans="1:3" x14ac:dyDescent="0.3">
      <c r="A367" s="1">
        <v>46023</v>
      </c>
      <c r="B367" s="2">
        <v>2026</v>
      </c>
      <c r="C367" s="2">
        <v>1</v>
      </c>
    </row>
    <row r="368" spans="1:3" x14ac:dyDescent="0.3">
      <c r="A368" s="1">
        <v>46024</v>
      </c>
      <c r="B368" s="2">
        <v>2026</v>
      </c>
      <c r="C368" s="2">
        <v>1</v>
      </c>
    </row>
    <row r="369" spans="1:3" x14ac:dyDescent="0.3">
      <c r="A369" s="1">
        <v>46025</v>
      </c>
      <c r="B369" s="2">
        <v>2026</v>
      </c>
      <c r="C369" s="2">
        <v>1</v>
      </c>
    </row>
    <row r="370" spans="1:3" x14ac:dyDescent="0.3">
      <c r="A370" s="1">
        <v>46026</v>
      </c>
      <c r="B370" s="2">
        <v>2026</v>
      </c>
      <c r="C370" s="2">
        <v>1</v>
      </c>
    </row>
    <row r="371" spans="1:3" x14ac:dyDescent="0.3">
      <c r="A371" s="1">
        <v>46027</v>
      </c>
      <c r="B371" s="2">
        <v>2026</v>
      </c>
      <c r="C371" s="2">
        <v>1</v>
      </c>
    </row>
    <row r="372" spans="1:3" x14ac:dyDescent="0.3">
      <c r="A372" s="1">
        <v>46028</v>
      </c>
      <c r="B372" s="2">
        <v>2026</v>
      </c>
      <c r="C372" s="2">
        <v>1</v>
      </c>
    </row>
    <row r="373" spans="1:3" x14ac:dyDescent="0.3">
      <c r="A373" s="1">
        <v>46029</v>
      </c>
      <c r="B373" s="2">
        <v>2026</v>
      </c>
      <c r="C373" s="2">
        <v>1</v>
      </c>
    </row>
    <row r="374" spans="1:3" x14ac:dyDescent="0.3">
      <c r="A374" s="1">
        <v>46030</v>
      </c>
      <c r="B374" s="2">
        <v>2026</v>
      </c>
      <c r="C374" s="2">
        <v>1</v>
      </c>
    </row>
    <row r="375" spans="1:3" x14ac:dyDescent="0.3">
      <c r="A375" s="1">
        <v>46031</v>
      </c>
      <c r="B375" s="2">
        <v>2026</v>
      </c>
      <c r="C375" s="2">
        <v>1</v>
      </c>
    </row>
    <row r="376" spans="1:3" x14ac:dyDescent="0.3">
      <c r="A376" s="1">
        <v>46032</v>
      </c>
      <c r="B376" s="2">
        <v>2026</v>
      </c>
      <c r="C376" s="2">
        <v>1</v>
      </c>
    </row>
    <row r="377" spans="1:3" x14ac:dyDescent="0.3">
      <c r="A377" s="1">
        <v>46033</v>
      </c>
      <c r="B377" s="2">
        <v>2026</v>
      </c>
      <c r="C377" s="2">
        <v>1</v>
      </c>
    </row>
    <row r="378" spans="1:3" x14ac:dyDescent="0.3">
      <c r="A378" s="1">
        <v>46034</v>
      </c>
      <c r="B378" s="2">
        <v>2026</v>
      </c>
      <c r="C378" s="2">
        <v>1</v>
      </c>
    </row>
    <row r="379" spans="1:3" x14ac:dyDescent="0.3">
      <c r="A379" s="1">
        <v>46035</v>
      </c>
      <c r="B379" s="2">
        <v>2026</v>
      </c>
      <c r="C379" s="2">
        <v>1</v>
      </c>
    </row>
    <row r="380" spans="1:3" x14ac:dyDescent="0.3">
      <c r="A380" s="1">
        <v>46036</v>
      </c>
      <c r="B380" s="2">
        <v>2026</v>
      </c>
      <c r="C380" s="2">
        <v>1</v>
      </c>
    </row>
    <row r="381" spans="1:3" x14ac:dyDescent="0.3">
      <c r="A381" s="1">
        <v>46037</v>
      </c>
      <c r="B381" s="2">
        <v>2026</v>
      </c>
      <c r="C381" s="2">
        <v>1</v>
      </c>
    </row>
    <row r="382" spans="1:3" x14ac:dyDescent="0.3">
      <c r="A382" s="1">
        <v>46038</v>
      </c>
      <c r="B382" s="2">
        <v>2026</v>
      </c>
      <c r="C382" s="2">
        <v>1</v>
      </c>
    </row>
    <row r="383" spans="1:3" x14ac:dyDescent="0.3">
      <c r="A383" s="1">
        <v>46039</v>
      </c>
      <c r="B383" s="2">
        <v>2026</v>
      </c>
      <c r="C383" s="2">
        <v>1</v>
      </c>
    </row>
    <row r="384" spans="1:3" x14ac:dyDescent="0.3">
      <c r="A384" s="1">
        <v>46040</v>
      </c>
      <c r="B384" s="2">
        <v>2026</v>
      </c>
      <c r="C384" s="2">
        <v>1</v>
      </c>
    </row>
    <row r="385" spans="1:3" x14ac:dyDescent="0.3">
      <c r="A385" s="1">
        <v>46041</v>
      </c>
      <c r="B385" s="2">
        <v>2026</v>
      </c>
      <c r="C385" s="2">
        <v>1</v>
      </c>
    </row>
    <row r="386" spans="1:3" x14ac:dyDescent="0.3">
      <c r="A386" s="1">
        <v>46042</v>
      </c>
      <c r="B386" s="2">
        <v>2026</v>
      </c>
      <c r="C386" s="2">
        <v>1</v>
      </c>
    </row>
    <row r="387" spans="1:3" x14ac:dyDescent="0.3">
      <c r="A387" s="1">
        <v>46043</v>
      </c>
      <c r="B387" s="2">
        <v>2026</v>
      </c>
      <c r="C387" s="2">
        <v>1</v>
      </c>
    </row>
    <row r="388" spans="1:3" x14ac:dyDescent="0.3">
      <c r="A388" s="1">
        <v>46044</v>
      </c>
      <c r="B388" s="2">
        <v>2026</v>
      </c>
      <c r="C388" s="2">
        <v>1</v>
      </c>
    </row>
    <row r="389" spans="1:3" x14ac:dyDescent="0.3">
      <c r="A389" s="1">
        <v>46045</v>
      </c>
      <c r="B389" s="2">
        <v>2026</v>
      </c>
      <c r="C389" s="2">
        <v>1</v>
      </c>
    </row>
    <row r="390" spans="1:3" x14ac:dyDescent="0.3">
      <c r="A390" s="1">
        <v>46046</v>
      </c>
      <c r="B390" s="2">
        <v>2026</v>
      </c>
      <c r="C390" s="2">
        <v>1</v>
      </c>
    </row>
    <row r="391" spans="1:3" x14ac:dyDescent="0.3">
      <c r="A391" s="1">
        <v>46047</v>
      </c>
      <c r="B391" s="2">
        <v>2026</v>
      </c>
      <c r="C391" s="2">
        <v>1</v>
      </c>
    </row>
    <row r="392" spans="1:3" x14ac:dyDescent="0.3">
      <c r="A392" s="1">
        <v>46048</v>
      </c>
      <c r="B392" s="2">
        <v>2026</v>
      </c>
      <c r="C392" s="2">
        <v>1</v>
      </c>
    </row>
    <row r="393" spans="1:3" x14ac:dyDescent="0.3">
      <c r="A393" s="1">
        <v>46049</v>
      </c>
      <c r="B393" s="2">
        <v>2026</v>
      </c>
      <c r="C393" s="2">
        <v>1</v>
      </c>
    </row>
    <row r="394" spans="1:3" x14ac:dyDescent="0.3">
      <c r="A394" s="1">
        <v>46050</v>
      </c>
      <c r="B394" s="2">
        <v>2026</v>
      </c>
      <c r="C394" s="2">
        <v>1</v>
      </c>
    </row>
    <row r="395" spans="1:3" x14ac:dyDescent="0.3">
      <c r="A395" s="1">
        <v>46051</v>
      </c>
      <c r="B395" s="2">
        <v>2026</v>
      </c>
      <c r="C395" s="2">
        <v>1</v>
      </c>
    </row>
    <row r="396" spans="1:3" x14ac:dyDescent="0.3">
      <c r="A396" s="1">
        <v>46052</v>
      </c>
      <c r="B396" s="2">
        <v>2026</v>
      </c>
      <c r="C396" s="2">
        <v>1</v>
      </c>
    </row>
    <row r="397" spans="1:3" x14ac:dyDescent="0.3">
      <c r="A397" s="1">
        <v>46053</v>
      </c>
      <c r="B397" s="2">
        <v>2026</v>
      </c>
      <c r="C397" s="2">
        <v>1</v>
      </c>
    </row>
    <row r="398" spans="1:3" x14ac:dyDescent="0.3">
      <c r="A398" s="1">
        <v>46054</v>
      </c>
      <c r="B398" s="2">
        <v>2026</v>
      </c>
      <c r="C398" s="2">
        <v>2</v>
      </c>
    </row>
    <row r="399" spans="1:3" x14ac:dyDescent="0.3">
      <c r="A399" s="1">
        <v>46055</v>
      </c>
      <c r="B399" s="2">
        <v>2026</v>
      </c>
      <c r="C399" s="2">
        <v>2</v>
      </c>
    </row>
    <row r="400" spans="1:3" x14ac:dyDescent="0.3">
      <c r="A400" s="1">
        <v>46056</v>
      </c>
      <c r="B400" s="2">
        <v>2026</v>
      </c>
      <c r="C400" s="2">
        <v>2</v>
      </c>
    </row>
    <row r="401" spans="1:3" x14ac:dyDescent="0.3">
      <c r="A401" s="1">
        <v>46057</v>
      </c>
      <c r="B401" s="2">
        <v>2026</v>
      </c>
      <c r="C401" s="2">
        <v>2</v>
      </c>
    </row>
    <row r="402" spans="1:3" x14ac:dyDescent="0.3">
      <c r="A402" s="1">
        <v>46058</v>
      </c>
      <c r="B402" s="2">
        <v>2026</v>
      </c>
      <c r="C402" s="2">
        <v>2</v>
      </c>
    </row>
    <row r="403" spans="1:3" x14ac:dyDescent="0.3">
      <c r="A403" s="1">
        <v>46059</v>
      </c>
      <c r="B403" s="2">
        <v>2026</v>
      </c>
      <c r="C403" s="2">
        <v>2</v>
      </c>
    </row>
    <row r="404" spans="1:3" x14ac:dyDescent="0.3">
      <c r="A404" s="1">
        <v>46060</v>
      </c>
      <c r="B404" s="2">
        <v>2026</v>
      </c>
      <c r="C404" s="2">
        <v>2</v>
      </c>
    </row>
    <row r="405" spans="1:3" x14ac:dyDescent="0.3">
      <c r="A405" s="1">
        <v>46061</v>
      </c>
      <c r="B405" s="2">
        <v>2026</v>
      </c>
      <c r="C405" s="2">
        <v>2</v>
      </c>
    </row>
    <row r="406" spans="1:3" x14ac:dyDescent="0.3">
      <c r="A406" s="1">
        <v>46062</v>
      </c>
      <c r="B406" s="2">
        <v>2026</v>
      </c>
      <c r="C406" s="2">
        <v>2</v>
      </c>
    </row>
    <row r="407" spans="1:3" x14ac:dyDescent="0.3">
      <c r="A407" s="1">
        <v>46063</v>
      </c>
      <c r="B407" s="2">
        <v>2026</v>
      </c>
      <c r="C407" s="2">
        <v>2</v>
      </c>
    </row>
    <row r="408" spans="1:3" x14ac:dyDescent="0.3">
      <c r="A408" s="1">
        <v>46064</v>
      </c>
      <c r="B408" s="2">
        <v>2026</v>
      </c>
      <c r="C408" s="2">
        <v>2</v>
      </c>
    </row>
    <row r="409" spans="1:3" x14ac:dyDescent="0.3">
      <c r="A409" s="1">
        <v>46065</v>
      </c>
      <c r="B409" s="2">
        <v>2026</v>
      </c>
      <c r="C409" s="2">
        <v>2</v>
      </c>
    </row>
    <row r="410" spans="1:3" x14ac:dyDescent="0.3">
      <c r="A410" s="1">
        <v>46066</v>
      </c>
      <c r="B410" s="2">
        <v>2026</v>
      </c>
      <c r="C410" s="2">
        <v>2</v>
      </c>
    </row>
    <row r="411" spans="1:3" x14ac:dyDescent="0.3">
      <c r="A411" s="1">
        <v>46067</v>
      </c>
      <c r="B411" s="2">
        <v>2026</v>
      </c>
      <c r="C411" s="2">
        <v>2</v>
      </c>
    </row>
    <row r="412" spans="1:3" x14ac:dyDescent="0.3">
      <c r="A412" s="1">
        <v>46068</v>
      </c>
      <c r="B412" s="2">
        <v>2026</v>
      </c>
      <c r="C412" s="2">
        <v>2</v>
      </c>
    </row>
    <row r="413" spans="1:3" x14ac:dyDescent="0.3">
      <c r="A413" s="1">
        <v>46069</v>
      </c>
      <c r="B413" s="2">
        <v>2026</v>
      </c>
      <c r="C413" s="2">
        <v>2</v>
      </c>
    </row>
    <row r="414" spans="1:3" x14ac:dyDescent="0.3">
      <c r="A414" s="1">
        <v>46070</v>
      </c>
      <c r="B414" s="2">
        <v>2026</v>
      </c>
      <c r="C414" s="2">
        <v>2</v>
      </c>
    </row>
    <row r="415" spans="1:3" x14ac:dyDescent="0.3">
      <c r="A415" s="1">
        <v>46071</v>
      </c>
      <c r="B415" s="2">
        <v>2026</v>
      </c>
      <c r="C415" s="2">
        <v>2</v>
      </c>
    </row>
    <row r="416" spans="1:3" x14ac:dyDescent="0.3">
      <c r="A416" s="1">
        <v>46072</v>
      </c>
      <c r="B416" s="2">
        <v>2026</v>
      </c>
      <c r="C416" s="2">
        <v>2</v>
      </c>
    </row>
    <row r="417" spans="1:3" x14ac:dyDescent="0.3">
      <c r="A417" s="1">
        <v>46073</v>
      </c>
      <c r="B417" s="2">
        <v>2026</v>
      </c>
      <c r="C417" s="2">
        <v>2</v>
      </c>
    </row>
    <row r="418" spans="1:3" x14ac:dyDescent="0.3">
      <c r="A418" s="1">
        <v>46074</v>
      </c>
      <c r="B418" s="2">
        <v>2026</v>
      </c>
      <c r="C418" s="2">
        <v>2</v>
      </c>
    </row>
    <row r="419" spans="1:3" x14ac:dyDescent="0.3">
      <c r="A419" s="1">
        <v>46075</v>
      </c>
      <c r="B419" s="2">
        <v>2026</v>
      </c>
      <c r="C419" s="2">
        <v>2</v>
      </c>
    </row>
    <row r="420" spans="1:3" x14ac:dyDescent="0.3">
      <c r="A420" s="1">
        <v>46076</v>
      </c>
      <c r="B420" s="2">
        <v>2026</v>
      </c>
      <c r="C420" s="2">
        <v>2</v>
      </c>
    </row>
    <row r="421" spans="1:3" x14ac:dyDescent="0.3">
      <c r="A421" s="1">
        <v>46077</v>
      </c>
      <c r="B421" s="2">
        <v>2026</v>
      </c>
      <c r="C421" s="2">
        <v>2</v>
      </c>
    </row>
    <row r="422" spans="1:3" x14ac:dyDescent="0.3">
      <c r="A422" s="1">
        <v>46078</v>
      </c>
      <c r="B422" s="2">
        <v>2026</v>
      </c>
      <c r="C422" s="2">
        <v>2</v>
      </c>
    </row>
    <row r="423" spans="1:3" x14ac:dyDescent="0.3">
      <c r="A423" s="1">
        <v>46079</v>
      </c>
      <c r="B423" s="2">
        <v>2026</v>
      </c>
      <c r="C423" s="2">
        <v>2</v>
      </c>
    </row>
    <row r="424" spans="1:3" x14ac:dyDescent="0.3">
      <c r="A424" s="1">
        <v>46080</v>
      </c>
      <c r="B424" s="2">
        <v>2026</v>
      </c>
      <c r="C424" s="2">
        <v>2</v>
      </c>
    </row>
    <row r="425" spans="1:3" x14ac:dyDescent="0.3">
      <c r="A425" s="1">
        <v>46081</v>
      </c>
      <c r="B425" s="2">
        <v>2026</v>
      </c>
      <c r="C425" s="2">
        <v>2</v>
      </c>
    </row>
    <row r="426" spans="1:3" x14ac:dyDescent="0.3">
      <c r="A426" s="1">
        <v>46082</v>
      </c>
      <c r="B426" s="2">
        <v>2026</v>
      </c>
      <c r="C426" s="2">
        <v>3</v>
      </c>
    </row>
    <row r="427" spans="1:3" x14ac:dyDescent="0.3">
      <c r="A427" s="1">
        <v>46083</v>
      </c>
      <c r="B427" s="2">
        <v>2026</v>
      </c>
      <c r="C427" s="2">
        <v>3</v>
      </c>
    </row>
    <row r="428" spans="1:3" x14ac:dyDescent="0.3">
      <c r="A428" s="1">
        <v>46084</v>
      </c>
      <c r="B428" s="2">
        <v>2026</v>
      </c>
      <c r="C428" s="2">
        <v>3</v>
      </c>
    </row>
    <row r="429" spans="1:3" x14ac:dyDescent="0.3">
      <c r="A429" s="1">
        <v>46085</v>
      </c>
      <c r="B429" s="2">
        <v>2026</v>
      </c>
      <c r="C429" s="2">
        <v>3</v>
      </c>
    </row>
    <row r="430" spans="1:3" x14ac:dyDescent="0.3">
      <c r="A430" s="1">
        <v>46086</v>
      </c>
      <c r="B430" s="2">
        <v>2026</v>
      </c>
      <c r="C430" s="2">
        <v>3</v>
      </c>
    </row>
    <row r="431" spans="1:3" x14ac:dyDescent="0.3">
      <c r="A431" s="1">
        <v>46087</v>
      </c>
      <c r="B431" s="2">
        <v>2026</v>
      </c>
      <c r="C431" s="2">
        <v>3</v>
      </c>
    </row>
    <row r="432" spans="1:3" x14ac:dyDescent="0.3">
      <c r="A432" s="1">
        <v>46088</v>
      </c>
      <c r="B432" s="2">
        <v>2026</v>
      </c>
      <c r="C432" s="2">
        <v>3</v>
      </c>
    </row>
    <row r="433" spans="1:3" x14ac:dyDescent="0.3">
      <c r="A433" s="1">
        <v>46089</v>
      </c>
      <c r="B433" s="2">
        <v>2026</v>
      </c>
      <c r="C433" s="2">
        <v>3</v>
      </c>
    </row>
    <row r="434" spans="1:3" x14ac:dyDescent="0.3">
      <c r="A434" s="1">
        <v>46090</v>
      </c>
      <c r="B434" s="2">
        <v>2026</v>
      </c>
      <c r="C434" s="2">
        <v>3</v>
      </c>
    </row>
    <row r="435" spans="1:3" x14ac:dyDescent="0.3">
      <c r="A435" s="1">
        <v>46091</v>
      </c>
      <c r="B435" s="2">
        <v>2026</v>
      </c>
      <c r="C435" s="2">
        <v>3</v>
      </c>
    </row>
    <row r="436" spans="1:3" x14ac:dyDescent="0.3">
      <c r="A436" s="1">
        <v>46092</v>
      </c>
      <c r="B436" s="2">
        <v>2026</v>
      </c>
      <c r="C436" s="2">
        <v>3</v>
      </c>
    </row>
    <row r="437" spans="1:3" x14ac:dyDescent="0.3">
      <c r="A437" s="1">
        <v>46093</v>
      </c>
      <c r="B437" s="2">
        <v>2026</v>
      </c>
      <c r="C437" s="2">
        <v>3</v>
      </c>
    </row>
    <row r="438" spans="1:3" x14ac:dyDescent="0.3">
      <c r="A438" s="1">
        <v>46094</v>
      </c>
      <c r="B438" s="2">
        <v>2026</v>
      </c>
      <c r="C438" s="2">
        <v>3</v>
      </c>
    </row>
    <row r="439" spans="1:3" x14ac:dyDescent="0.3">
      <c r="A439" s="1">
        <v>46095</v>
      </c>
      <c r="B439" s="2">
        <v>2026</v>
      </c>
      <c r="C439" s="2">
        <v>3</v>
      </c>
    </row>
    <row r="440" spans="1:3" x14ac:dyDescent="0.3">
      <c r="A440" s="1">
        <v>46096</v>
      </c>
      <c r="B440" s="2">
        <v>2026</v>
      </c>
      <c r="C440" s="2">
        <v>3</v>
      </c>
    </row>
    <row r="441" spans="1:3" x14ac:dyDescent="0.3">
      <c r="A441" s="1">
        <v>46097</v>
      </c>
      <c r="B441" s="2">
        <v>2026</v>
      </c>
      <c r="C441" s="2">
        <v>3</v>
      </c>
    </row>
    <row r="442" spans="1:3" x14ac:dyDescent="0.3">
      <c r="A442" s="1">
        <v>46098</v>
      </c>
      <c r="B442" s="2">
        <v>2026</v>
      </c>
      <c r="C442" s="2">
        <v>3</v>
      </c>
    </row>
    <row r="443" spans="1:3" x14ac:dyDescent="0.3">
      <c r="A443" s="1">
        <v>46099</v>
      </c>
      <c r="B443" s="2">
        <v>2026</v>
      </c>
      <c r="C443" s="2">
        <v>3</v>
      </c>
    </row>
    <row r="444" spans="1:3" x14ac:dyDescent="0.3">
      <c r="A444" s="1">
        <v>46100</v>
      </c>
      <c r="B444" s="2">
        <v>2026</v>
      </c>
      <c r="C444" s="2">
        <v>3</v>
      </c>
    </row>
    <row r="445" spans="1:3" x14ac:dyDescent="0.3">
      <c r="A445" s="1">
        <v>46101</v>
      </c>
      <c r="B445" s="2">
        <v>2026</v>
      </c>
      <c r="C445" s="2">
        <v>3</v>
      </c>
    </row>
    <row r="446" spans="1:3" x14ac:dyDescent="0.3">
      <c r="A446" s="1">
        <v>46102</v>
      </c>
      <c r="B446" s="2">
        <v>2026</v>
      </c>
      <c r="C446" s="2">
        <v>3</v>
      </c>
    </row>
    <row r="447" spans="1:3" x14ac:dyDescent="0.3">
      <c r="A447" s="1">
        <v>46103</v>
      </c>
      <c r="B447" s="2">
        <v>2026</v>
      </c>
      <c r="C447" s="2">
        <v>3</v>
      </c>
    </row>
    <row r="448" spans="1:3" x14ac:dyDescent="0.3">
      <c r="A448" s="1">
        <v>46104</v>
      </c>
      <c r="B448" s="2">
        <v>2026</v>
      </c>
      <c r="C448" s="2">
        <v>3</v>
      </c>
    </row>
    <row r="449" spans="1:3" x14ac:dyDescent="0.3">
      <c r="A449" s="1">
        <v>46105</v>
      </c>
      <c r="B449" s="2">
        <v>2026</v>
      </c>
      <c r="C449" s="2">
        <v>3</v>
      </c>
    </row>
    <row r="450" spans="1:3" x14ac:dyDescent="0.3">
      <c r="A450" s="1">
        <v>46106</v>
      </c>
      <c r="B450" s="2">
        <v>2026</v>
      </c>
      <c r="C450" s="2">
        <v>3</v>
      </c>
    </row>
    <row r="451" spans="1:3" x14ac:dyDescent="0.3">
      <c r="A451" s="1">
        <v>46107</v>
      </c>
      <c r="B451" s="2">
        <v>2026</v>
      </c>
      <c r="C451" s="2">
        <v>3</v>
      </c>
    </row>
    <row r="452" spans="1:3" x14ac:dyDescent="0.3">
      <c r="A452" s="1">
        <v>46108</v>
      </c>
      <c r="B452" s="2">
        <v>2026</v>
      </c>
      <c r="C452" s="2">
        <v>3</v>
      </c>
    </row>
    <row r="453" spans="1:3" x14ac:dyDescent="0.3">
      <c r="A453" s="1">
        <v>46109</v>
      </c>
      <c r="B453" s="2">
        <v>2026</v>
      </c>
      <c r="C453" s="2">
        <v>3</v>
      </c>
    </row>
    <row r="454" spans="1:3" x14ac:dyDescent="0.3">
      <c r="A454" s="1">
        <v>46110</v>
      </c>
      <c r="B454" s="2">
        <v>2026</v>
      </c>
      <c r="C454" s="2">
        <v>3</v>
      </c>
    </row>
    <row r="455" spans="1:3" x14ac:dyDescent="0.3">
      <c r="A455" s="1">
        <v>46111</v>
      </c>
      <c r="B455" s="2">
        <v>2026</v>
      </c>
      <c r="C455" s="2">
        <v>3</v>
      </c>
    </row>
    <row r="456" spans="1:3" x14ac:dyDescent="0.3">
      <c r="A456" s="1">
        <v>46112</v>
      </c>
      <c r="B456" s="2">
        <v>2026</v>
      </c>
      <c r="C456" s="2">
        <v>3</v>
      </c>
    </row>
    <row r="457" spans="1:3" x14ac:dyDescent="0.3">
      <c r="A457" s="1">
        <v>46113</v>
      </c>
      <c r="B457" s="2">
        <v>2026</v>
      </c>
      <c r="C457" s="2">
        <v>4</v>
      </c>
    </row>
    <row r="458" spans="1:3" x14ac:dyDescent="0.3">
      <c r="A458" s="1">
        <v>46114</v>
      </c>
      <c r="B458" s="2">
        <v>2026</v>
      </c>
      <c r="C458" s="2">
        <v>4</v>
      </c>
    </row>
    <row r="459" spans="1:3" x14ac:dyDescent="0.3">
      <c r="A459" s="1">
        <v>46115</v>
      </c>
      <c r="B459" s="2">
        <v>2026</v>
      </c>
      <c r="C459" s="2">
        <v>4</v>
      </c>
    </row>
    <row r="460" spans="1:3" x14ac:dyDescent="0.3">
      <c r="A460" s="1">
        <v>46116</v>
      </c>
      <c r="B460" s="2">
        <v>2026</v>
      </c>
      <c r="C460" s="2">
        <v>4</v>
      </c>
    </row>
    <row r="461" spans="1:3" x14ac:dyDescent="0.3">
      <c r="A461" s="1">
        <v>46117</v>
      </c>
      <c r="B461" s="2">
        <v>2026</v>
      </c>
      <c r="C461" s="2">
        <v>4</v>
      </c>
    </row>
    <row r="462" spans="1:3" x14ac:dyDescent="0.3">
      <c r="A462" s="1">
        <v>46118</v>
      </c>
      <c r="B462" s="2">
        <v>2026</v>
      </c>
      <c r="C462" s="2">
        <v>4</v>
      </c>
    </row>
    <row r="463" spans="1:3" x14ac:dyDescent="0.3">
      <c r="A463" s="1">
        <v>46119</v>
      </c>
      <c r="B463" s="2">
        <v>2026</v>
      </c>
      <c r="C463" s="2">
        <v>4</v>
      </c>
    </row>
    <row r="464" spans="1:3" x14ac:dyDescent="0.3">
      <c r="A464" s="1">
        <v>46120</v>
      </c>
      <c r="B464" s="2">
        <v>2026</v>
      </c>
      <c r="C464" s="2">
        <v>4</v>
      </c>
    </row>
    <row r="465" spans="1:3" x14ac:dyDescent="0.3">
      <c r="A465" s="1">
        <v>46121</v>
      </c>
      <c r="B465" s="2">
        <v>2026</v>
      </c>
      <c r="C465" s="2">
        <v>4</v>
      </c>
    </row>
    <row r="466" spans="1:3" x14ac:dyDescent="0.3">
      <c r="A466" s="1">
        <v>46122</v>
      </c>
      <c r="B466" s="2">
        <v>2026</v>
      </c>
      <c r="C466" s="2">
        <v>4</v>
      </c>
    </row>
    <row r="467" spans="1:3" x14ac:dyDescent="0.3">
      <c r="A467" s="1">
        <v>46123</v>
      </c>
      <c r="B467" s="2">
        <v>2026</v>
      </c>
      <c r="C467" s="2">
        <v>4</v>
      </c>
    </row>
    <row r="468" spans="1:3" x14ac:dyDescent="0.3">
      <c r="A468" s="1">
        <v>46124</v>
      </c>
      <c r="B468" s="2">
        <v>2026</v>
      </c>
      <c r="C468" s="2">
        <v>4</v>
      </c>
    </row>
    <row r="469" spans="1:3" x14ac:dyDescent="0.3">
      <c r="A469" s="1">
        <v>46125</v>
      </c>
      <c r="B469" s="2">
        <v>2026</v>
      </c>
      <c r="C469" s="2">
        <v>4</v>
      </c>
    </row>
    <row r="470" spans="1:3" x14ac:dyDescent="0.3">
      <c r="A470" s="1">
        <v>46126</v>
      </c>
      <c r="B470" s="2">
        <v>2026</v>
      </c>
      <c r="C470" s="2">
        <v>4</v>
      </c>
    </row>
    <row r="471" spans="1:3" x14ac:dyDescent="0.3">
      <c r="A471" s="1">
        <v>46127</v>
      </c>
      <c r="B471" s="2">
        <v>2026</v>
      </c>
      <c r="C471" s="2">
        <v>4</v>
      </c>
    </row>
    <row r="472" spans="1:3" x14ac:dyDescent="0.3">
      <c r="A472" s="1">
        <v>46128</v>
      </c>
      <c r="B472" s="2">
        <v>2026</v>
      </c>
      <c r="C472" s="2">
        <v>4</v>
      </c>
    </row>
    <row r="473" spans="1:3" x14ac:dyDescent="0.3">
      <c r="A473" s="1">
        <v>46129</v>
      </c>
      <c r="B473" s="2">
        <v>2026</v>
      </c>
      <c r="C473" s="2">
        <v>4</v>
      </c>
    </row>
    <row r="474" spans="1:3" x14ac:dyDescent="0.3">
      <c r="A474" s="1">
        <v>46130</v>
      </c>
      <c r="B474" s="2">
        <v>2026</v>
      </c>
      <c r="C474" s="2">
        <v>4</v>
      </c>
    </row>
    <row r="475" spans="1:3" x14ac:dyDescent="0.3">
      <c r="A475" s="1">
        <v>46131</v>
      </c>
      <c r="B475" s="2">
        <v>2026</v>
      </c>
      <c r="C475" s="2">
        <v>4</v>
      </c>
    </row>
    <row r="476" spans="1:3" x14ac:dyDescent="0.3">
      <c r="A476" s="1">
        <v>46132</v>
      </c>
      <c r="B476" s="2">
        <v>2026</v>
      </c>
      <c r="C476" s="2">
        <v>4</v>
      </c>
    </row>
    <row r="477" spans="1:3" x14ac:dyDescent="0.3">
      <c r="A477" s="1">
        <v>46133</v>
      </c>
      <c r="B477" s="2">
        <v>2026</v>
      </c>
      <c r="C477" s="2">
        <v>4</v>
      </c>
    </row>
    <row r="478" spans="1:3" x14ac:dyDescent="0.3">
      <c r="A478" s="1">
        <v>46134</v>
      </c>
      <c r="B478" s="2">
        <v>2026</v>
      </c>
      <c r="C478" s="2">
        <v>4</v>
      </c>
    </row>
    <row r="479" spans="1:3" x14ac:dyDescent="0.3">
      <c r="A479" s="1">
        <v>46135</v>
      </c>
      <c r="B479" s="2">
        <v>2026</v>
      </c>
      <c r="C479" s="2">
        <v>4</v>
      </c>
    </row>
    <row r="480" spans="1:3" x14ac:dyDescent="0.3">
      <c r="A480" s="1">
        <v>46136</v>
      </c>
      <c r="B480" s="2">
        <v>2026</v>
      </c>
      <c r="C480" s="2">
        <v>4</v>
      </c>
    </row>
    <row r="481" spans="1:3" x14ac:dyDescent="0.3">
      <c r="A481" s="1">
        <v>46137</v>
      </c>
      <c r="B481" s="2">
        <v>2026</v>
      </c>
      <c r="C481" s="2">
        <v>4</v>
      </c>
    </row>
    <row r="482" spans="1:3" x14ac:dyDescent="0.3">
      <c r="A482" s="1">
        <v>46138</v>
      </c>
      <c r="B482" s="2">
        <v>2026</v>
      </c>
      <c r="C482" s="2">
        <v>4</v>
      </c>
    </row>
    <row r="483" spans="1:3" x14ac:dyDescent="0.3">
      <c r="A483" s="1">
        <v>46139</v>
      </c>
      <c r="B483" s="2">
        <v>2026</v>
      </c>
      <c r="C483" s="2">
        <v>4</v>
      </c>
    </row>
    <row r="484" spans="1:3" x14ac:dyDescent="0.3">
      <c r="A484" s="1">
        <v>46140</v>
      </c>
      <c r="B484" s="2">
        <v>2026</v>
      </c>
      <c r="C484" s="2">
        <v>4</v>
      </c>
    </row>
    <row r="485" spans="1:3" x14ac:dyDescent="0.3">
      <c r="A485" s="1">
        <v>46141</v>
      </c>
      <c r="B485" s="2">
        <v>2026</v>
      </c>
      <c r="C485" s="2">
        <v>4</v>
      </c>
    </row>
    <row r="486" spans="1:3" x14ac:dyDescent="0.3">
      <c r="A486" s="1">
        <v>46142</v>
      </c>
      <c r="B486" s="2">
        <v>2026</v>
      </c>
      <c r="C486" s="2">
        <v>4</v>
      </c>
    </row>
    <row r="487" spans="1:3" x14ac:dyDescent="0.3">
      <c r="A487" s="1">
        <v>46143</v>
      </c>
      <c r="B487" s="2">
        <v>2026</v>
      </c>
      <c r="C487" s="2">
        <v>5</v>
      </c>
    </row>
    <row r="488" spans="1:3" x14ac:dyDescent="0.3">
      <c r="A488" s="1">
        <v>46144</v>
      </c>
      <c r="B488" s="2">
        <v>2026</v>
      </c>
      <c r="C488" s="2">
        <v>5</v>
      </c>
    </row>
    <row r="489" spans="1:3" x14ac:dyDescent="0.3">
      <c r="A489" s="1">
        <v>46145</v>
      </c>
      <c r="B489" s="2">
        <v>2026</v>
      </c>
      <c r="C489" s="2">
        <v>5</v>
      </c>
    </row>
    <row r="490" spans="1:3" x14ac:dyDescent="0.3">
      <c r="A490" s="1">
        <v>46146</v>
      </c>
      <c r="B490" s="2">
        <v>2026</v>
      </c>
      <c r="C490" s="2">
        <v>5</v>
      </c>
    </row>
    <row r="491" spans="1:3" x14ac:dyDescent="0.3">
      <c r="A491" s="1">
        <v>46147</v>
      </c>
      <c r="B491" s="2">
        <v>2026</v>
      </c>
      <c r="C491" s="2">
        <v>5</v>
      </c>
    </row>
    <row r="492" spans="1:3" x14ac:dyDescent="0.3">
      <c r="A492" s="1">
        <v>46148</v>
      </c>
      <c r="B492" s="2">
        <v>2026</v>
      </c>
      <c r="C492" s="2">
        <v>5</v>
      </c>
    </row>
    <row r="493" spans="1:3" x14ac:dyDescent="0.3">
      <c r="A493" s="1">
        <v>46149</v>
      </c>
      <c r="B493" s="2">
        <v>2026</v>
      </c>
      <c r="C493" s="2">
        <v>5</v>
      </c>
    </row>
    <row r="494" spans="1:3" x14ac:dyDescent="0.3">
      <c r="A494" s="1">
        <v>46150</v>
      </c>
      <c r="B494" s="2">
        <v>2026</v>
      </c>
      <c r="C494" s="2">
        <v>5</v>
      </c>
    </row>
    <row r="495" spans="1:3" x14ac:dyDescent="0.3">
      <c r="A495" s="1">
        <v>46151</v>
      </c>
      <c r="B495" s="2">
        <v>2026</v>
      </c>
      <c r="C495" s="2">
        <v>5</v>
      </c>
    </row>
    <row r="496" spans="1:3" x14ac:dyDescent="0.3">
      <c r="A496" s="1">
        <v>46152</v>
      </c>
      <c r="B496" s="2">
        <v>2026</v>
      </c>
      <c r="C496" s="2">
        <v>5</v>
      </c>
    </row>
    <row r="497" spans="1:3" x14ac:dyDescent="0.3">
      <c r="A497" s="1">
        <v>46153</v>
      </c>
      <c r="B497" s="2">
        <v>2026</v>
      </c>
      <c r="C497" s="2">
        <v>5</v>
      </c>
    </row>
    <row r="498" spans="1:3" x14ac:dyDescent="0.3">
      <c r="A498" s="1">
        <v>46154</v>
      </c>
      <c r="B498" s="2">
        <v>2026</v>
      </c>
      <c r="C498" s="2">
        <v>5</v>
      </c>
    </row>
    <row r="499" spans="1:3" x14ac:dyDescent="0.3">
      <c r="A499" s="1">
        <v>46155</v>
      </c>
      <c r="B499" s="2">
        <v>2026</v>
      </c>
      <c r="C499" s="2">
        <v>5</v>
      </c>
    </row>
    <row r="500" spans="1:3" x14ac:dyDescent="0.3">
      <c r="A500" s="1">
        <v>46156</v>
      </c>
      <c r="B500" s="2">
        <v>2026</v>
      </c>
      <c r="C500" s="2">
        <v>5</v>
      </c>
    </row>
    <row r="501" spans="1:3" x14ac:dyDescent="0.3">
      <c r="A501" s="1">
        <v>46157</v>
      </c>
      <c r="B501" s="2">
        <v>2026</v>
      </c>
      <c r="C501" s="2">
        <v>5</v>
      </c>
    </row>
    <row r="502" spans="1:3" x14ac:dyDescent="0.3">
      <c r="A502" s="1">
        <v>46158</v>
      </c>
      <c r="B502" s="2">
        <v>2026</v>
      </c>
      <c r="C502" s="2">
        <v>5</v>
      </c>
    </row>
    <row r="503" spans="1:3" x14ac:dyDescent="0.3">
      <c r="A503" s="1">
        <v>46159</v>
      </c>
      <c r="B503" s="2">
        <v>2026</v>
      </c>
      <c r="C503" s="2">
        <v>5</v>
      </c>
    </row>
    <row r="504" spans="1:3" x14ac:dyDescent="0.3">
      <c r="A504" s="1">
        <v>46160</v>
      </c>
      <c r="B504" s="2">
        <v>2026</v>
      </c>
      <c r="C504" s="2">
        <v>5</v>
      </c>
    </row>
    <row r="505" spans="1:3" x14ac:dyDescent="0.3">
      <c r="A505" s="1">
        <v>46161</v>
      </c>
      <c r="B505" s="2">
        <v>2026</v>
      </c>
      <c r="C505" s="2">
        <v>5</v>
      </c>
    </row>
    <row r="506" spans="1:3" x14ac:dyDescent="0.3">
      <c r="A506" s="1">
        <v>46162</v>
      </c>
      <c r="B506" s="2">
        <v>2026</v>
      </c>
      <c r="C506" s="2">
        <v>5</v>
      </c>
    </row>
    <row r="507" spans="1:3" x14ac:dyDescent="0.3">
      <c r="A507" s="1">
        <v>46163</v>
      </c>
      <c r="B507" s="2">
        <v>2026</v>
      </c>
      <c r="C507" s="2">
        <v>5</v>
      </c>
    </row>
    <row r="508" spans="1:3" x14ac:dyDescent="0.3">
      <c r="A508" s="1">
        <v>46164</v>
      </c>
      <c r="B508" s="2">
        <v>2026</v>
      </c>
      <c r="C508" s="2">
        <v>5</v>
      </c>
    </row>
    <row r="509" spans="1:3" x14ac:dyDescent="0.3">
      <c r="A509" s="1">
        <v>46165</v>
      </c>
      <c r="B509" s="2">
        <v>2026</v>
      </c>
      <c r="C509" s="2">
        <v>5</v>
      </c>
    </row>
    <row r="510" spans="1:3" x14ac:dyDescent="0.3">
      <c r="A510" s="1">
        <v>46166</v>
      </c>
      <c r="B510" s="2">
        <v>2026</v>
      </c>
      <c r="C510" s="2">
        <v>5</v>
      </c>
    </row>
    <row r="511" spans="1:3" x14ac:dyDescent="0.3">
      <c r="A511" s="1">
        <v>46167</v>
      </c>
      <c r="B511" s="2">
        <v>2026</v>
      </c>
      <c r="C511" s="2">
        <v>5</v>
      </c>
    </row>
    <row r="512" spans="1:3" x14ac:dyDescent="0.3">
      <c r="A512" s="1">
        <v>46168</v>
      </c>
      <c r="B512" s="2">
        <v>2026</v>
      </c>
      <c r="C512" s="2">
        <v>5</v>
      </c>
    </row>
    <row r="513" spans="1:3" x14ac:dyDescent="0.3">
      <c r="A513" s="1">
        <v>46169</v>
      </c>
      <c r="B513" s="2">
        <v>2026</v>
      </c>
      <c r="C513" s="2">
        <v>5</v>
      </c>
    </row>
    <row r="514" spans="1:3" x14ac:dyDescent="0.3">
      <c r="A514" s="1">
        <v>46170</v>
      </c>
      <c r="B514" s="2">
        <v>2026</v>
      </c>
      <c r="C514" s="2">
        <v>5</v>
      </c>
    </row>
    <row r="515" spans="1:3" x14ac:dyDescent="0.3">
      <c r="A515" s="1">
        <v>46171</v>
      </c>
      <c r="B515" s="2">
        <v>2026</v>
      </c>
      <c r="C515" s="2">
        <v>5</v>
      </c>
    </row>
    <row r="516" spans="1:3" x14ac:dyDescent="0.3">
      <c r="A516" s="1">
        <v>46172</v>
      </c>
      <c r="B516" s="2">
        <v>2026</v>
      </c>
      <c r="C516" s="2">
        <v>5</v>
      </c>
    </row>
    <row r="517" spans="1:3" x14ac:dyDescent="0.3">
      <c r="A517" s="1">
        <v>46173</v>
      </c>
      <c r="B517" s="2">
        <v>2026</v>
      </c>
      <c r="C517" s="2">
        <v>5</v>
      </c>
    </row>
    <row r="518" spans="1:3" x14ac:dyDescent="0.3">
      <c r="A518" s="1">
        <v>46174</v>
      </c>
      <c r="B518" s="2">
        <v>2026</v>
      </c>
      <c r="C518" s="2">
        <v>6</v>
      </c>
    </row>
    <row r="519" spans="1:3" x14ac:dyDescent="0.3">
      <c r="A519" s="1">
        <v>46175</v>
      </c>
      <c r="B519" s="2">
        <v>2026</v>
      </c>
      <c r="C519" s="2">
        <v>6</v>
      </c>
    </row>
    <row r="520" spans="1:3" x14ac:dyDescent="0.3">
      <c r="A520" s="1">
        <v>46176</v>
      </c>
      <c r="B520" s="2">
        <v>2026</v>
      </c>
      <c r="C520" s="2">
        <v>6</v>
      </c>
    </row>
    <row r="521" spans="1:3" x14ac:dyDescent="0.3">
      <c r="A521" s="1">
        <v>46177</v>
      </c>
      <c r="B521" s="2">
        <v>2026</v>
      </c>
      <c r="C521" s="2">
        <v>6</v>
      </c>
    </row>
    <row r="522" spans="1:3" x14ac:dyDescent="0.3">
      <c r="A522" s="1">
        <v>46178</v>
      </c>
      <c r="B522" s="2">
        <v>2026</v>
      </c>
      <c r="C522" s="2">
        <v>6</v>
      </c>
    </row>
    <row r="523" spans="1:3" x14ac:dyDescent="0.3">
      <c r="A523" s="1">
        <v>46179</v>
      </c>
      <c r="B523" s="2">
        <v>2026</v>
      </c>
      <c r="C523" s="2">
        <v>6</v>
      </c>
    </row>
    <row r="524" spans="1:3" x14ac:dyDescent="0.3">
      <c r="A524" s="1">
        <v>46180</v>
      </c>
      <c r="B524" s="2">
        <v>2026</v>
      </c>
      <c r="C524" s="2">
        <v>6</v>
      </c>
    </row>
    <row r="525" spans="1:3" x14ac:dyDescent="0.3">
      <c r="A525" s="1">
        <v>46181</v>
      </c>
      <c r="B525" s="2">
        <v>2026</v>
      </c>
      <c r="C525" s="2">
        <v>6</v>
      </c>
    </row>
    <row r="526" spans="1:3" x14ac:dyDescent="0.3">
      <c r="A526" s="1">
        <v>46182</v>
      </c>
      <c r="B526" s="2">
        <v>2026</v>
      </c>
      <c r="C526" s="2">
        <v>6</v>
      </c>
    </row>
    <row r="527" spans="1:3" x14ac:dyDescent="0.3">
      <c r="A527" s="1">
        <v>46183</v>
      </c>
      <c r="B527" s="2">
        <v>2026</v>
      </c>
      <c r="C527" s="2">
        <v>6</v>
      </c>
    </row>
    <row r="528" spans="1:3" x14ac:dyDescent="0.3">
      <c r="A528" s="1">
        <v>46184</v>
      </c>
      <c r="B528" s="2">
        <v>2026</v>
      </c>
      <c r="C528" s="2">
        <v>6</v>
      </c>
    </row>
    <row r="529" spans="1:3" x14ac:dyDescent="0.3">
      <c r="A529" s="1">
        <v>46185</v>
      </c>
      <c r="B529" s="2">
        <v>2026</v>
      </c>
      <c r="C529" s="2">
        <v>6</v>
      </c>
    </row>
    <row r="530" spans="1:3" x14ac:dyDescent="0.3">
      <c r="A530" s="1">
        <v>46186</v>
      </c>
      <c r="B530" s="2">
        <v>2026</v>
      </c>
      <c r="C530" s="2">
        <v>6</v>
      </c>
    </row>
    <row r="531" spans="1:3" x14ac:dyDescent="0.3">
      <c r="A531" s="1">
        <v>46187</v>
      </c>
      <c r="B531" s="2">
        <v>2026</v>
      </c>
      <c r="C531" s="2">
        <v>6</v>
      </c>
    </row>
    <row r="532" spans="1:3" x14ac:dyDescent="0.3">
      <c r="A532" s="1">
        <v>46188</v>
      </c>
      <c r="B532" s="2">
        <v>2026</v>
      </c>
      <c r="C532" s="2">
        <v>6</v>
      </c>
    </row>
    <row r="533" spans="1:3" x14ac:dyDescent="0.3">
      <c r="A533" s="1">
        <v>46189</v>
      </c>
      <c r="B533" s="2">
        <v>2026</v>
      </c>
      <c r="C533" s="2">
        <v>6</v>
      </c>
    </row>
    <row r="534" spans="1:3" x14ac:dyDescent="0.3">
      <c r="A534" s="1">
        <v>46190</v>
      </c>
      <c r="B534" s="2">
        <v>2026</v>
      </c>
      <c r="C534" s="2">
        <v>6</v>
      </c>
    </row>
    <row r="535" spans="1:3" x14ac:dyDescent="0.3">
      <c r="A535" s="1">
        <v>46191</v>
      </c>
      <c r="B535" s="2">
        <v>2026</v>
      </c>
      <c r="C535" s="2">
        <v>6</v>
      </c>
    </row>
    <row r="536" spans="1:3" x14ac:dyDescent="0.3">
      <c r="A536" s="1">
        <v>46192</v>
      </c>
      <c r="B536" s="2">
        <v>2026</v>
      </c>
      <c r="C536" s="2">
        <v>6</v>
      </c>
    </row>
    <row r="537" spans="1:3" x14ac:dyDescent="0.3">
      <c r="A537" s="1">
        <v>46193</v>
      </c>
      <c r="B537" s="2">
        <v>2026</v>
      </c>
      <c r="C537" s="2">
        <v>6</v>
      </c>
    </row>
    <row r="538" spans="1:3" x14ac:dyDescent="0.3">
      <c r="A538" s="1">
        <v>46194</v>
      </c>
      <c r="B538" s="2">
        <v>2026</v>
      </c>
      <c r="C538" s="2">
        <v>6</v>
      </c>
    </row>
    <row r="539" spans="1:3" x14ac:dyDescent="0.3">
      <c r="A539" s="1">
        <v>46195</v>
      </c>
      <c r="B539" s="2">
        <v>2026</v>
      </c>
      <c r="C539" s="2">
        <v>6</v>
      </c>
    </row>
    <row r="540" spans="1:3" x14ac:dyDescent="0.3">
      <c r="A540" s="1">
        <v>46196</v>
      </c>
      <c r="B540" s="2">
        <v>2026</v>
      </c>
      <c r="C540" s="2">
        <v>6</v>
      </c>
    </row>
    <row r="541" spans="1:3" x14ac:dyDescent="0.3">
      <c r="A541" s="1">
        <v>46197</v>
      </c>
      <c r="B541" s="2">
        <v>2026</v>
      </c>
      <c r="C541" s="2">
        <v>6</v>
      </c>
    </row>
    <row r="542" spans="1:3" x14ac:dyDescent="0.3">
      <c r="A542" s="1">
        <v>46198</v>
      </c>
      <c r="B542" s="2">
        <v>2026</v>
      </c>
      <c r="C542" s="2">
        <v>6</v>
      </c>
    </row>
    <row r="543" spans="1:3" x14ac:dyDescent="0.3">
      <c r="A543" s="1">
        <v>46199</v>
      </c>
      <c r="B543" s="2">
        <v>2026</v>
      </c>
      <c r="C543" s="2">
        <v>6</v>
      </c>
    </row>
    <row r="544" spans="1:3" x14ac:dyDescent="0.3">
      <c r="A544" s="1">
        <v>46200</v>
      </c>
      <c r="B544" s="2">
        <v>2026</v>
      </c>
      <c r="C544" s="2">
        <v>6</v>
      </c>
    </row>
    <row r="545" spans="1:3" x14ac:dyDescent="0.3">
      <c r="A545" s="1">
        <v>46201</v>
      </c>
      <c r="B545" s="2">
        <v>2026</v>
      </c>
      <c r="C545" s="2">
        <v>6</v>
      </c>
    </row>
    <row r="546" spans="1:3" x14ac:dyDescent="0.3">
      <c r="A546" s="1">
        <v>46202</v>
      </c>
      <c r="B546" s="2">
        <v>2026</v>
      </c>
      <c r="C546" s="2">
        <v>6</v>
      </c>
    </row>
    <row r="547" spans="1:3" x14ac:dyDescent="0.3">
      <c r="A547" s="1">
        <v>46203</v>
      </c>
      <c r="B547" s="2">
        <v>2026</v>
      </c>
      <c r="C547" s="2">
        <v>6</v>
      </c>
    </row>
    <row r="548" spans="1:3" x14ac:dyDescent="0.3">
      <c r="A548" s="1">
        <v>46204</v>
      </c>
      <c r="B548" s="2">
        <v>2026</v>
      </c>
      <c r="C548" s="2">
        <v>7</v>
      </c>
    </row>
    <row r="549" spans="1:3" x14ac:dyDescent="0.3">
      <c r="A549" s="1">
        <v>46205</v>
      </c>
      <c r="B549" s="2">
        <v>2026</v>
      </c>
      <c r="C549" s="2">
        <v>7</v>
      </c>
    </row>
    <row r="550" spans="1:3" x14ac:dyDescent="0.3">
      <c r="A550" s="1">
        <v>46206</v>
      </c>
      <c r="B550" s="2">
        <v>2026</v>
      </c>
      <c r="C550" s="2">
        <v>7</v>
      </c>
    </row>
    <row r="551" spans="1:3" x14ac:dyDescent="0.3">
      <c r="A551" s="1">
        <v>46207</v>
      </c>
      <c r="B551" s="2">
        <v>2026</v>
      </c>
      <c r="C551" s="2">
        <v>7</v>
      </c>
    </row>
    <row r="552" spans="1:3" x14ac:dyDescent="0.3">
      <c r="A552" s="1">
        <v>46208</v>
      </c>
      <c r="B552" s="2">
        <v>2026</v>
      </c>
      <c r="C552" s="2">
        <v>7</v>
      </c>
    </row>
    <row r="553" spans="1:3" x14ac:dyDescent="0.3">
      <c r="A553" s="1">
        <v>46209</v>
      </c>
      <c r="B553" s="2">
        <v>2026</v>
      </c>
      <c r="C553" s="2">
        <v>7</v>
      </c>
    </row>
    <row r="554" spans="1:3" x14ac:dyDescent="0.3">
      <c r="A554" s="1">
        <v>46210</v>
      </c>
      <c r="B554" s="2">
        <v>2026</v>
      </c>
      <c r="C554" s="2">
        <v>7</v>
      </c>
    </row>
    <row r="555" spans="1:3" x14ac:dyDescent="0.3">
      <c r="A555" s="1">
        <v>46211</v>
      </c>
      <c r="B555" s="2">
        <v>2026</v>
      </c>
      <c r="C555" s="2">
        <v>7</v>
      </c>
    </row>
    <row r="556" spans="1:3" x14ac:dyDescent="0.3">
      <c r="A556" s="1">
        <v>46212</v>
      </c>
      <c r="B556" s="2">
        <v>2026</v>
      </c>
      <c r="C556" s="2">
        <v>7</v>
      </c>
    </row>
    <row r="557" spans="1:3" x14ac:dyDescent="0.3">
      <c r="A557" s="1">
        <v>46213</v>
      </c>
      <c r="B557" s="2">
        <v>2026</v>
      </c>
      <c r="C557" s="2">
        <v>7</v>
      </c>
    </row>
    <row r="558" spans="1:3" x14ac:dyDescent="0.3">
      <c r="A558" s="1">
        <v>46214</v>
      </c>
      <c r="B558" s="2">
        <v>2026</v>
      </c>
      <c r="C558" s="2">
        <v>7</v>
      </c>
    </row>
    <row r="559" spans="1:3" x14ac:dyDescent="0.3">
      <c r="A559" s="1">
        <v>46215</v>
      </c>
      <c r="B559" s="2">
        <v>2026</v>
      </c>
      <c r="C559" s="2">
        <v>7</v>
      </c>
    </row>
    <row r="560" spans="1:3" x14ac:dyDescent="0.3">
      <c r="A560" s="1">
        <v>46216</v>
      </c>
      <c r="B560" s="2">
        <v>2026</v>
      </c>
      <c r="C560" s="2">
        <v>7</v>
      </c>
    </row>
    <row r="561" spans="1:3" x14ac:dyDescent="0.3">
      <c r="A561" s="1">
        <v>46217</v>
      </c>
      <c r="B561" s="2">
        <v>2026</v>
      </c>
      <c r="C561" s="2">
        <v>7</v>
      </c>
    </row>
    <row r="562" spans="1:3" x14ac:dyDescent="0.3">
      <c r="A562" s="1">
        <v>46218</v>
      </c>
      <c r="B562" s="2">
        <v>2026</v>
      </c>
      <c r="C562" s="2">
        <v>7</v>
      </c>
    </row>
    <row r="563" spans="1:3" x14ac:dyDescent="0.3">
      <c r="A563" s="1">
        <v>46219</v>
      </c>
      <c r="B563" s="2">
        <v>2026</v>
      </c>
      <c r="C563" s="2">
        <v>7</v>
      </c>
    </row>
    <row r="564" spans="1:3" x14ac:dyDescent="0.3">
      <c r="A564" s="1">
        <v>46220</v>
      </c>
      <c r="B564" s="2">
        <v>2026</v>
      </c>
      <c r="C564" s="2">
        <v>7</v>
      </c>
    </row>
    <row r="565" spans="1:3" x14ac:dyDescent="0.3">
      <c r="A565" s="1">
        <v>46221</v>
      </c>
      <c r="B565" s="2">
        <v>2026</v>
      </c>
      <c r="C565" s="2">
        <v>7</v>
      </c>
    </row>
    <row r="566" spans="1:3" x14ac:dyDescent="0.3">
      <c r="A566" s="1">
        <v>46222</v>
      </c>
      <c r="B566" s="2">
        <v>2026</v>
      </c>
      <c r="C566" s="2">
        <v>7</v>
      </c>
    </row>
    <row r="567" spans="1:3" x14ac:dyDescent="0.3">
      <c r="A567" s="1">
        <v>46223</v>
      </c>
      <c r="B567" s="2">
        <v>2026</v>
      </c>
      <c r="C567" s="2">
        <v>7</v>
      </c>
    </row>
    <row r="568" spans="1:3" x14ac:dyDescent="0.3">
      <c r="A568" s="1">
        <v>46224</v>
      </c>
      <c r="B568" s="2">
        <v>2026</v>
      </c>
      <c r="C568" s="2">
        <v>7</v>
      </c>
    </row>
    <row r="569" spans="1:3" x14ac:dyDescent="0.3">
      <c r="A569" s="1">
        <v>46225</v>
      </c>
      <c r="B569" s="2">
        <v>2026</v>
      </c>
      <c r="C569" s="2">
        <v>7</v>
      </c>
    </row>
    <row r="570" spans="1:3" x14ac:dyDescent="0.3">
      <c r="A570" s="1">
        <v>46226</v>
      </c>
      <c r="B570" s="2">
        <v>2026</v>
      </c>
      <c r="C570" s="2">
        <v>7</v>
      </c>
    </row>
    <row r="571" spans="1:3" x14ac:dyDescent="0.3">
      <c r="A571" s="1">
        <v>46227</v>
      </c>
      <c r="B571" s="2">
        <v>2026</v>
      </c>
      <c r="C571" s="2">
        <v>7</v>
      </c>
    </row>
    <row r="572" spans="1:3" x14ac:dyDescent="0.3">
      <c r="A572" s="1">
        <v>46228</v>
      </c>
      <c r="B572" s="2">
        <v>2026</v>
      </c>
      <c r="C572" s="2">
        <v>7</v>
      </c>
    </row>
    <row r="573" spans="1:3" x14ac:dyDescent="0.3">
      <c r="A573" s="1">
        <v>46229</v>
      </c>
      <c r="B573" s="2">
        <v>2026</v>
      </c>
      <c r="C573" s="2">
        <v>7</v>
      </c>
    </row>
    <row r="574" spans="1:3" x14ac:dyDescent="0.3">
      <c r="A574" s="1">
        <v>46230</v>
      </c>
      <c r="B574" s="2">
        <v>2026</v>
      </c>
      <c r="C574" s="2">
        <v>7</v>
      </c>
    </row>
    <row r="575" spans="1:3" x14ac:dyDescent="0.3">
      <c r="A575" s="1">
        <v>46231</v>
      </c>
      <c r="B575" s="2">
        <v>2026</v>
      </c>
      <c r="C575" s="2">
        <v>7</v>
      </c>
    </row>
    <row r="576" spans="1:3" x14ac:dyDescent="0.3">
      <c r="A576" s="1">
        <v>46232</v>
      </c>
      <c r="B576" s="2">
        <v>2026</v>
      </c>
      <c r="C576" s="2">
        <v>7</v>
      </c>
    </row>
    <row r="577" spans="1:3" x14ac:dyDescent="0.3">
      <c r="A577" s="1">
        <v>46233</v>
      </c>
      <c r="B577" s="2">
        <v>2026</v>
      </c>
      <c r="C577" s="2">
        <v>7</v>
      </c>
    </row>
    <row r="578" spans="1:3" x14ac:dyDescent="0.3">
      <c r="A578" s="1">
        <v>46234</v>
      </c>
      <c r="B578" s="2">
        <v>2026</v>
      </c>
      <c r="C578" s="2">
        <v>7</v>
      </c>
    </row>
    <row r="579" spans="1:3" x14ac:dyDescent="0.3">
      <c r="A579" s="1">
        <v>46235</v>
      </c>
      <c r="B579" s="2">
        <v>2026</v>
      </c>
      <c r="C579" s="2">
        <v>8</v>
      </c>
    </row>
    <row r="580" spans="1:3" x14ac:dyDescent="0.3">
      <c r="A580" s="1">
        <v>46236</v>
      </c>
      <c r="B580" s="2">
        <v>2026</v>
      </c>
      <c r="C580" s="2">
        <v>8</v>
      </c>
    </row>
    <row r="581" spans="1:3" x14ac:dyDescent="0.3">
      <c r="A581" s="1">
        <v>46237</v>
      </c>
      <c r="B581" s="2">
        <v>2026</v>
      </c>
      <c r="C581" s="2">
        <v>8</v>
      </c>
    </row>
    <row r="582" spans="1:3" x14ac:dyDescent="0.3">
      <c r="A582" s="1">
        <v>46238</v>
      </c>
      <c r="B582" s="2">
        <v>2026</v>
      </c>
      <c r="C582" s="2">
        <v>8</v>
      </c>
    </row>
    <row r="583" spans="1:3" x14ac:dyDescent="0.3">
      <c r="A583" s="1">
        <v>46239</v>
      </c>
      <c r="B583" s="2">
        <v>2026</v>
      </c>
      <c r="C583" s="2">
        <v>8</v>
      </c>
    </row>
    <row r="584" spans="1:3" x14ac:dyDescent="0.3">
      <c r="A584" s="1">
        <v>46240</v>
      </c>
      <c r="B584" s="2">
        <v>2026</v>
      </c>
      <c r="C584" s="2">
        <v>8</v>
      </c>
    </row>
    <row r="585" spans="1:3" x14ac:dyDescent="0.3">
      <c r="A585" s="1">
        <v>46241</v>
      </c>
      <c r="B585" s="2">
        <v>2026</v>
      </c>
      <c r="C585" s="2">
        <v>8</v>
      </c>
    </row>
    <row r="586" spans="1:3" x14ac:dyDescent="0.3">
      <c r="A586" s="1">
        <v>46242</v>
      </c>
      <c r="B586" s="2">
        <v>2026</v>
      </c>
      <c r="C586" s="2">
        <v>8</v>
      </c>
    </row>
    <row r="587" spans="1:3" x14ac:dyDescent="0.3">
      <c r="A587" s="1">
        <v>46243</v>
      </c>
      <c r="B587" s="2">
        <v>2026</v>
      </c>
      <c r="C587" s="2">
        <v>8</v>
      </c>
    </row>
    <row r="588" spans="1:3" x14ac:dyDescent="0.3">
      <c r="A588" s="1">
        <v>46244</v>
      </c>
      <c r="B588" s="2">
        <v>2026</v>
      </c>
      <c r="C588" s="2">
        <v>8</v>
      </c>
    </row>
    <row r="589" spans="1:3" x14ac:dyDescent="0.3">
      <c r="A589" s="1">
        <v>46245</v>
      </c>
      <c r="B589" s="2">
        <v>2026</v>
      </c>
      <c r="C589" s="2">
        <v>8</v>
      </c>
    </row>
    <row r="590" spans="1:3" x14ac:dyDescent="0.3">
      <c r="A590" s="1">
        <v>46246</v>
      </c>
      <c r="B590" s="2">
        <v>2026</v>
      </c>
      <c r="C590" s="2">
        <v>8</v>
      </c>
    </row>
    <row r="591" spans="1:3" x14ac:dyDescent="0.3">
      <c r="A591" s="1">
        <v>46247</v>
      </c>
      <c r="B591" s="2">
        <v>2026</v>
      </c>
      <c r="C591" s="2">
        <v>8</v>
      </c>
    </row>
    <row r="592" spans="1:3" x14ac:dyDescent="0.3">
      <c r="A592" s="1">
        <v>46248</v>
      </c>
      <c r="B592" s="2">
        <v>2026</v>
      </c>
      <c r="C592" s="2">
        <v>8</v>
      </c>
    </row>
    <row r="593" spans="1:3" x14ac:dyDescent="0.3">
      <c r="A593" s="1">
        <v>46249</v>
      </c>
      <c r="B593" s="2">
        <v>2026</v>
      </c>
      <c r="C593" s="2">
        <v>8</v>
      </c>
    </row>
    <row r="594" spans="1:3" x14ac:dyDescent="0.3">
      <c r="A594" s="1">
        <v>46250</v>
      </c>
      <c r="B594" s="2">
        <v>2026</v>
      </c>
      <c r="C594" s="2">
        <v>8</v>
      </c>
    </row>
    <row r="595" spans="1:3" x14ac:dyDescent="0.3">
      <c r="A595" s="1">
        <v>46251</v>
      </c>
      <c r="B595" s="2">
        <v>2026</v>
      </c>
      <c r="C595" s="2">
        <v>8</v>
      </c>
    </row>
    <row r="596" spans="1:3" x14ac:dyDescent="0.3">
      <c r="A596" s="1">
        <v>46252</v>
      </c>
      <c r="B596" s="2">
        <v>2026</v>
      </c>
      <c r="C596" s="2">
        <v>8</v>
      </c>
    </row>
    <row r="597" spans="1:3" x14ac:dyDescent="0.3">
      <c r="A597" s="1">
        <v>46253</v>
      </c>
      <c r="B597" s="2">
        <v>2026</v>
      </c>
      <c r="C597" s="2">
        <v>8</v>
      </c>
    </row>
    <row r="598" spans="1:3" x14ac:dyDescent="0.3">
      <c r="A598" s="1">
        <v>46254</v>
      </c>
      <c r="B598" s="2">
        <v>2026</v>
      </c>
      <c r="C598" s="2">
        <v>8</v>
      </c>
    </row>
    <row r="599" spans="1:3" x14ac:dyDescent="0.3">
      <c r="A599" s="1">
        <v>46255</v>
      </c>
      <c r="B599" s="2">
        <v>2026</v>
      </c>
      <c r="C599" s="2">
        <v>8</v>
      </c>
    </row>
    <row r="600" spans="1:3" x14ac:dyDescent="0.3">
      <c r="A600" s="1">
        <v>46256</v>
      </c>
      <c r="B600" s="2">
        <v>2026</v>
      </c>
      <c r="C600" s="2">
        <v>8</v>
      </c>
    </row>
    <row r="601" spans="1:3" x14ac:dyDescent="0.3">
      <c r="A601" s="1">
        <v>46257</v>
      </c>
      <c r="B601" s="2">
        <v>2026</v>
      </c>
      <c r="C601" s="2">
        <v>8</v>
      </c>
    </row>
    <row r="602" spans="1:3" x14ac:dyDescent="0.3">
      <c r="A602" s="1">
        <v>46258</v>
      </c>
      <c r="B602" s="2">
        <v>2026</v>
      </c>
      <c r="C602" s="2">
        <v>8</v>
      </c>
    </row>
    <row r="603" spans="1:3" x14ac:dyDescent="0.3">
      <c r="A603" s="1">
        <v>46259</v>
      </c>
      <c r="B603" s="2">
        <v>2026</v>
      </c>
      <c r="C603" s="2">
        <v>8</v>
      </c>
    </row>
    <row r="604" spans="1:3" x14ac:dyDescent="0.3">
      <c r="A604" s="1">
        <v>46260</v>
      </c>
      <c r="B604" s="2">
        <v>2026</v>
      </c>
      <c r="C604" s="2">
        <v>8</v>
      </c>
    </row>
    <row r="605" spans="1:3" x14ac:dyDescent="0.3">
      <c r="A605" s="1">
        <v>46261</v>
      </c>
      <c r="B605" s="2">
        <v>2026</v>
      </c>
      <c r="C605" s="2">
        <v>8</v>
      </c>
    </row>
    <row r="606" spans="1:3" x14ac:dyDescent="0.3">
      <c r="A606" s="1">
        <v>46262</v>
      </c>
      <c r="B606" s="2">
        <v>2026</v>
      </c>
      <c r="C606" s="2">
        <v>8</v>
      </c>
    </row>
    <row r="607" spans="1:3" x14ac:dyDescent="0.3">
      <c r="A607" s="1">
        <v>46263</v>
      </c>
      <c r="B607" s="2">
        <v>2026</v>
      </c>
      <c r="C607" s="2">
        <v>8</v>
      </c>
    </row>
    <row r="608" spans="1:3" x14ac:dyDescent="0.3">
      <c r="A608" s="1">
        <v>46264</v>
      </c>
      <c r="B608" s="2">
        <v>2026</v>
      </c>
      <c r="C608" s="2">
        <v>8</v>
      </c>
    </row>
    <row r="609" spans="1:3" x14ac:dyDescent="0.3">
      <c r="A609" s="1">
        <v>46265</v>
      </c>
      <c r="B609" s="2">
        <v>2026</v>
      </c>
      <c r="C609" s="2">
        <v>8</v>
      </c>
    </row>
    <row r="610" spans="1:3" x14ac:dyDescent="0.3">
      <c r="A610" s="1">
        <v>46266</v>
      </c>
      <c r="B610" s="2">
        <v>2026</v>
      </c>
      <c r="C610" s="2">
        <v>9</v>
      </c>
    </row>
    <row r="611" spans="1:3" x14ac:dyDescent="0.3">
      <c r="A611" s="1">
        <v>46267</v>
      </c>
      <c r="B611" s="2">
        <v>2026</v>
      </c>
      <c r="C611" s="2">
        <v>9</v>
      </c>
    </row>
    <row r="612" spans="1:3" x14ac:dyDescent="0.3">
      <c r="A612" s="1">
        <v>46268</v>
      </c>
      <c r="B612" s="2">
        <v>2026</v>
      </c>
      <c r="C612" s="2">
        <v>9</v>
      </c>
    </row>
    <row r="613" spans="1:3" x14ac:dyDescent="0.3">
      <c r="A613" s="1">
        <v>46269</v>
      </c>
      <c r="B613" s="2">
        <v>2026</v>
      </c>
      <c r="C613" s="2">
        <v>9</v>
      </c>
    </row>
    <row r="614" spans="1:3" x14ac:dyDescent="0.3">
      <c r="A614" s="1">
        <v>46270</v>
      </c>
      <c r="B614" s="2">
        <v>2026</v>
      </c>
      <c r="C614" s="2">
        <v>9</v>
      </c>
    </row>
    <row r="615" spans="1:3" x14ac:dyDescent="0.3">
      <c r="A615" s="1">
        <v>46271</v>
      </c>
      <c r="B615" s="2">
        <v>2026</v>
      </c>
      <c r="C615" s="2">
        <v>9</v>
      </c>
    </row>
    <row r="616" spans="1:3" x14ac:dyDescent="0.3">
      <c r="A616" s="1">
        <v>46272</v>
      </c>
      <c r="B616" s="2">
        <v>2026</v>
      </c>
      <c r="C616" s="2">
        <v>9</v>
      </c>
    </row>
    <row r="617" spans="1:3" x14ac:dyDescent="0.3">
      <c r="A617" s="1">
        <v>46273</v>
      </c>
      <c r="B617" s="2">
        <v>2026</v>
      </c>
      <c r="C617" s="2">
        <v>9</v>
      </c>
    </row>
    <row r="618" spans="1:3" x14ac:dyDescent="0.3">
      <c r="A618" s="1">
        <v>46274</v>
      </c>
      <c r="B618" s="2">
        <v>2026</v>
      </c>
      <c r="C618" s="2">
        <v>9</v>
      </c>
    </row>
    <row r="619" spans="1:3" x14ac:dyDescent="0.3">
      <c r="A619" s="1">
        <v>46275</v>
      </c>
      <c r="B619" s="2">
        <v>2026</v>
      </c>
      <c r="C619" s="2">
        <v>9</v>
      </c>
    </row>
    <row r="620" spans="1:3" x14ac:dyDescent="0.3">
      <c r="A620" s="1">
        <v>46276</v>
      </c>
      <c r="B620" s="2">
        <v>2026</v>
      </c>
      <c r="C620" s="2">
        <v>9</v>
      </c>
    </row>
    <row r="621" spans="1:3" x14ac:dyDescent="0.3">
      <c r="A621" s="1">
        <v>46277</v>
      </c>
      <c r="B621" s="2">
        <v>2026</v>
      </c>
      <c r="C621" s="2">
        <v>9</v>
      </c>
    </row>
    <row r="622" spans="1:3" x14ac:dyDescent="0.3">
      <c r="A622" s="1">
        <v>46278</v>
      </c>
      <c r="B622" s="2">
        <v>2026</v>
      </c>
      <c r="C622" s="2">
        <v>9</v>
      </c>
    </row>
    <row r="623" spans="1:3" x14ac:dyDescent="0.3">
      <c r="A623" s="1">
        <v>46279</v>
      </c>
      <c r="B623" s="2">
        <v>2026</v>
      </c>
      <c r="C623" s="2">
        <v>9</v>
      </c>
    </row>
    <row r="624" spans="1:3" x14ac:dyDescent="0.3">
      <c r="A624" s="1">
        <v>46280</v>
      </c>
      <c r="B624" s="2">
        <v>2026</v>
      </c>
      <c r="C624" s="2">
        <v>9</v>
      </c>
    </row>
    <row r="625" spans="1:3" x14ac:dyDescent="0.3">
      <c r="A625" s="1">
        <v>46281</v>
      </c>
      <c r="B625" s="2">
        <v>2026</v>
      </c>
      <c r="C625" s="2">
        <v>9</v>
      </c>
    </row>
    <row r="626" spans="1:3" x14ac:dyDescent="0.3">
      <c r="A626" s="1">
        <v>46282</v>
      </c>
      <c r="B626" s="2">
        <v>2026</v>
      </c>
      <c r="C626" s="2">
        <v>9</v>
      </c>
    </row>
    <row r="627" spans="1:3" x14ac:dyDescent="0.3">
      <c r="A627" s="1">
        <v>46283</v>
      </c>
      <c r="B627" s="2">
        <v>2026</v>
      </c>
      <c r="C627" s="2">
        <v>9</v>
      </c>
    </row>
    <row r="628" spans="1:3" x14ac:dyDescent="0.3">
      <c r="A628" s="1">
        <v>46284</v>
      </c>
      <c r="B628" s="2">
        <v>2026</v>
      </c>
      <c r="C628" s="2">
        <v>9</v>
      </c>
    </row>
    <row r="629" spans="1:3" x14ac:dyDescent="0.3">
      <c r="A629" s="1">
        <v>46285</v>
      </c>
      <c r="B629" s="2">
        <v>2026</v>
      </c>
      <c r="C629" s="2">
        <v>9</v>
      </c>
    </row>
    <row r="630" spans="1:3" x14ac:dyDescent="0.3">
      <c r="A630" s="1">
        <v>46286</v>
      </c>
      <c r="B630" s="2">
        <v>2026</v>
      </c>
      <c r="C630" s="2">
        <v>9</v>
      </c>
    </row>
    <row r="631" spans="1:3" x14ac:dyDescent="0.3">
      <c r="A631" s="1">
        <v>46287</v>
      </c>
      <c r="B631" s="2">
        <v>2026</v>
      </c>
      <c r="C631" s="2">
        <v>9</v>
      </c>
    </row>
    <row r="632" spans="1:3" x14ac:dyDescent="0.3">
      <c r="A632" s="1">
        <v>46288</v>
      </c>
      <c r="B632" s="2">
        <v>2026</v>
      </c>
      <c r="C632" s="2">
        <v>9</v>
      </c>
    </row>
    <row r="633" spans="1:3" x14ac:dyDescent="0.3">
      <c r="A633" s="1">
        <v>46289</v>
      </c>
      <c r="B633" s="2">
        <v>2026</v>
      </c>
      <c r="C633" s="2">
        <v>9</v>
      </c>
    </row>
    <row r="634" spans="1:3" x14ac:dyDescent="0.3">
      <c r="A634" s="1">
        <v>46290</v>
      </c>
      <c r="B634" s="2">
        <v>2026</v>
      </c>
      <c r="C634" s="2">
        <v>9</v>
      </c>
    </row>
    <row r="635" spans="1:3" x14ac:dyDescent="0.3">
      <c r="A635" s="1">
        <v>46291</v>
      </c>
      <c r="B635" s="2">
        <v>2026</v>
      </c>
      <c r="C635" s="2">
        <v>9</v>
      </c>
    </row>
    <row r="636" spans="1:3" x14ac:dyDescent="0.3">
      <c r="A636" s="1">
        <v>46292</v>
      </c>
      <c r="B636" s="2">
        <v>2026</v>
      </c>
      <c r="C636" s="2">
        <v>9</v>
      </c>
    </row>
    <row r="637" spans="1:3" x14ac:dyDescent="0.3">
      <c r="A637" s="1">
        <v>46293</v>
      </c>
      <c r="B637" s="2">
        <v>2026</v>
      </c>
      <c r="C637" s="2">
        <v>9</v>
      </c>
    </row>
    <row r="638" spans="1:3" x14ac:dyDescent="0.3">
      <c r="A638" s="1">
        <v>46294</v>
      </c>
      <c r="B638" s="2">
        <v>2026</v>
      </c>
      <c r="C638" s="2">
        <v>9</v>
      </c>
    </row>
    <row r="639" spans="1:3" x14ac:dyDescent="0.3">
      <c r="A639" s="1">
        <v>46295</v>
      </c>
      <c r="B639" s="2">
        <v>2026</v>
      </c>
      <c r="C639" s="2">
        <v>9</v>
      </c>
    </row>
    <row r="640" spans="1:3" x14ac:dyDescent="0.3">
      <c r="A640" s="1">
        <v>46296</v>
      </c>
      <c r="B640" s="2">
        <v>2026</v>
      </c>
      <c r="C640" s="2">
        <v>10</v>
      </c>
    </row>
    <row r="641" spans="1:3" x14ac:dyDescent="0.3">
      <c r="A641" s="1">
        <v>46297</v>
      </c>
      <c r="B641" s="2">
        <v>2026</v>
      </c>
      <c r="C641" s="2">
        <v>10</v>
      </c>
    </row>
    <row r="642" spans="1:3" x14ac:dyDescent="0.3">
      <c r="A642" s="1">
        <v>46298</v>
      </c>
      <c r="B642" s="2">
        <v>2026</v>
      </c>
      <c r="C642" s="2">
        <v>10</v>
      </c>
    </row>
    <row r="643" spans="1:3" x14ac:dyDescent="0.3">
      <c r="A643" s="1">
        <v>46299</v>
      </c>
      <c r="B643" s="2">
        <v>2026</v>
      </c>
      <c r="C643" s="2">
        <v>10</v>
      </c>
    </row>
    <row r="644" spans="1:3" x14ac:dyDescent="0.3">
      <c r="A644" s="1">
        <v>46300</v>
      </c>
      <c r="B644" s="2">
        <v>2026</v>
      </c>
      <c r="C644" s="2">
        <v>10</v>
      </c>
    </row>
    <row r="645" spans="1:3" x14ac:dyDescent="0.3">
      <c r="A645" s="1">
        <v>46301</v>
      </c>
      <c r="B645" s="2">
        <v>2026</v>
      </c>
      <c r="C645" s="2">
        <v>10</v>
      </c>
    </row>
    <row r="646" spans="1:3" x14ac:dyDescent="0.3">
      <c r="A646" s="1">
        <v>46302</v>
      </c>
      <c r="B646" s="2">
        <v>2026</v>
      </c>
      <c r="C646" s="2">
        <v>10</v>
      </c>
    </row>
    <row r="647" spans="1:3" x14ac:dyDescent="0.3">
      <c r="A647" s="1">
        <v>46303</v>
      </c>
      <c r="B647" s="2">
        <v>2026</v>
      </c>
      <c r="C647" s="2">
        <v>10</v>
      </c>
    </row>
    <row r="648" spans="1:3" x14ac:dyDescent="0.3">
      <c r="A648" s="1">
        <v>46304</v>
      </c>
      <c r="B648" s="2">
        <v>2026</v>
      </c>
      <c r="C648" s="2">
        <v>10</v>
      </c>
    </row>
    <row r="649" spans="1:3" x14ac:dyDescent="0.3">
      <c r="A649" s="1">
        <v>46305</v>
      </c>
      <c r="B649" s="2">
        <v>2026</v>
      </c>
      <c r="C649" s="2">
        <v>10</v>
      </c>
    </row>
    <row r="650" spans="1:3" x14ac:dyDescent="0.3">
      <c r="A650" s="1">
        <v>46306</v>
      </c>
      <c r="B650" s="2">
        <v>2026</v>
      </c>
      <c r="C650" s="2">
        <v>10</v>
      </c>
    </row>
    <row r="651" spans="1:3" x14ac:dyDescent="0.3">
      <c r="A651" s="1">
        <v>46307</v>
      </c>
      <c r="B651" s="2">
        <v>2026</v>
      </c>
      <c r="C651" s="2">
        <v>10</v>
      </c>
    </row>
    <row r="652" spans="1:3" x14ac:dyDescent="0.3">
      <c r="A652" s="1">
        <v>46308</v>
      </c>
      <c r="B652" s="2">
        <v>2026</v>
      </c>
      <c r="C652" s="2">
        <v>10</v>
      </c>
    </row>
    <row r="653" spans="1:3" x14ac:dyDescent="0.3">
      <c r="A653" s="1">
        <v>46309</v>
      </c>
      <c r="B653" s="2">
        <v>2026</v>
      </c>
      <c r="C653" s="2">
        <v>10</v>
      </c>
    </row>
    <row r="654" spans="1:3" x14ac:dyDescent="0.3">
      <c r="A654" s="1">
        <v>46310</v>
      </c>
      <c r="B654" s="2">
        <v>2026</v>
      </c>
      <c r="C654" s="2">
        <v>10</v>
      </c>
    </row>
    <row r="655" spans="1:3" x14ac:dyDescent="0.3">
      <c r="A655" s="1">
        <v>46311</v>
      </c>
      <c r="B655" s="2">
        <v>2026</v>
      </c>
      <c r="C655" s="2">
        <v>10</v>
      </c>
    </row>
    <row r="656" spans="1:3" x14ac:dyDescent="0.3">
      <c r="A656" s="1">
        <v>46312</v>
      </c>
      <c r="B656" s="2">
        <v>2026</v>
      </c>
      <c r="C656" s="2">
        <v>10</v>
      </c>
    </row>
    <row r="657" spans="1:3" x14ac:dyDescent="0.3">
      <c r="A657" s="1">
        <v>46313</v>
      </c>
      <c r="B657" s="2">
        <v>2026</v>
      </c>
      <c r="C657" s="2">
        <v>10</v>
      </c>
    </row>
    <row r="658" spans="1:3" x14ac:dyDescent="0.3">
      <c r="A658" s="1">
        <v>46314</v>
      </c>
      <c r="B658" s="2">
        <v>2026</v>
      </c>
      <c r="C658" s="2">
        <v>10</v>
      </c>
    </row>
    <row r="659" spans="1:3" x14ac:dyDescent="0.3">
      <c r="A659" s="1">
        <v>46315</v>
      </c>
      <c r="B659" s="2">
        <v>2026</v>
      </c>
      <c r="C659" s="2">
        <v>10</v>
      </c>
    </row>
    <row r="660" spans="1:3" x14ac:dyDescent="0.3">
      <c r="A660" s="1">
        <v>46316</v>
      </c>
      <c r="B660" s="2">
        <v>2026</v>
      </c>
      <c r="C660" s="2">
        <v>10</v>
      </c>
    </row>
    <row r="661" spans="1:3" x14ac:dyDescent="0.3">
      <c r="A661" s="1">
        <v>46317</v>
      </c>
      <c r="B661" s="2">
        <v>2026</v>
      </c>
      <c r="C661" s="2">
        <v>10</v>
      </c>
    </row>
    <row r="662" spans="1:3" x14ac:dyDescent="0.3">
      <c r="A662" s="1">
        <v>46318</v>
      </c>
      <c r="B662" s="2">
        <v>2026</v>
      </c>
      <c r="C662" s="2">
        <v>10</v>
      </c>
    </row>
    <row r="663" spans="1:3" x14ac:dyDescent="0.3">
      <c r="A663" s="1">
        <v>46319</v>
      </c>
      <c r="B663" s="2">
        <v>2026</v>
      </c>
      <c r="C663" s="2">
        <v>10</v>
      </c>
    </row>
    <row r="664" spans="1:3" x14ac:dyDescent="0.3">
      <c r="A664" s="1">
        <v>46320</v>
      </c>
      <c r="B664" s="2">
        <v>2026</v>
      </c>
      <c r="C664" s="2">
        <v>10</v>
      </c>
    </row>
    <row r="665" spans="1:3" x14ac:dyDescent="0.3">
      <c r="A665" s="1">
        <v>46321</v>
      </c>
      <c r="B665" s="2">
        <v>2026</v>
      </c>
      <c r="C665" s="2">
        <v>10</v>
      </c>
    </row>
    <row r="666" spans="1:3" x14ac:dyDescent="0.3">
      <c r="A666" s="1">
        <v>46322</v>
      </c>
      <c r="B666" s="2">
        <v>2026</v>
      </c>
      <c r="C666" s="2">
        <v>10</v>
      </c>
    </row>
    <row r="667" spans="1:3" x14ac:dyDescent="0.3">
      <c r="A667" s="1">
        <v>46323</v>
      </c>
      <c r="B667" s="2">
        <v>2026</v>
      </c>
      <c r="C667" s="2">
        <v>10</v>
      </c>
    </row>
    <row r="668" spans="1:3" x14ac:dyDescent="0.3">
      <c r="A668" s="1">
        <v>46324</v>
      </c>
      <c r="B668" s="2">
        <v>2026</v>
      </c>
      <c r="C668" s="2">
        <v>10</v>
      </c>
    </row>
    <row r="669" spans="1:3" x14ac:dyDescent="0.3">
      <c r="A669" s="1">
        <v>46325</v>
      </c>
      <c r="B669" s="2">
        <v>2026</v>
      </c>
      <c r="C669" s="2">
        <v>10</v>
      </c>
    </row>
    <row r="670" spans="1:3" x14ac:dyDescent="0.3">
      <c r="A670" s="1">
        <v>46326</v>
      </c>
      <c r="B670" s="2">
        <v>2026</v>
      </c>
      <c r="C670" s="2">
        <v>10</v>
      </c>
    </row>
    <row r="671" spans="1:3" x14ac:dyDescent="0.3">
      <c r="A671" s="1">
        <v>46327</v>
      </c>
      <c r="B671" s="2">
        <v>2026</v>
      </c>
      <c r="C671" s="2">
        <v>11</v>
      </c>
    </row>
    <row r="672" spans="1:3" x14ac:dyDescent="0.3">
      <c r="A672" s="1">
        <v>46328</v>
      </c>
      <c r="B672" s="2">
        <v>2026</v>
      </c>
      <c r="C672" s="2">
        <v>11</v>
      </c>
    </row>
    <row r="673" spans="1:3" x14ac:dyDescent="0.3">
      <c r="A673" s="1">
        <v>46329</v>
      </c>
      <c r="B673" s="2">
        <v>2026</v>
      </c>
      <c r="C673" s="2">
        <v>11</v>
      </c>
    </row>
    <row r="674" spans="1:3" x14ac:dyDescent="0.3">
      <c r="A674" s="1">
        <v>46330</v>
      </c>
      <c r="B674" s="2">
        <v>2026</v>
      </c>
      <c r="C674" s="2">
        <v>11</v>
      </c>
    </row>
    <row r="675" spans="1:3" x14ac:dyDescent="0.3">
      <c r="A675" s="1">
        <v>46331</v>
      </c>
      <c r="B675" s="2">
        <v>2026</v>
      </c>
      <c r="C675" s="2">
        <v>11</v>
      </c>
    </row>
    <row r="676" spans="1:3" x14ac:dyDescent="0.3">
      <c r="A676" s="1">
        <v>46332</v>
      </c>
      <c r="B676" s="2">
        <v>2026</v>
      </c>
      <c r="C676" s="2">
        <v>11</v>
      </c>
    </row>
    <row r="677" spans="1:3" x14ac:dyDescent="0.3">
      <c r="A677" s="1">
        <v>46333</v>
      </c>
      <c r="B677" s="2">
        <v>2026</v>
      </c>
      <c r="C677" s="2">
        <v>11</v>
      </c>
    </row>
    <row r="678" spans="1:3" x14ac:dyDescent="0.3">
      <c r="A678" s="1">
        <v>46334</v>
      </c>
      <c r="B678" s="2">
        <v>2026</v>
      </c>
      <c r="C678" s="2">
        <v>11</v>
      </c>
    </row>
    <row r="679" spans="1:3" x14ac:dyDescent="0.3">
      <c r="A679" s="1">
        <v>46335</v>
      </c>
      <c r="B679" s="2">
        <v>2026</v>
      </c>
      <c r="C679" s="2">
        <v>11</v>
      </c>
    </row>
    <row r="680" spans="1:3" x14ac:dyDescent="0.3">
      <c r="A680" s="1">
        <v>46336</v>
      </c>
      <c r="B680" s="2">
        <v>2026</v>
      </c>
      <c r="C680" s="2">
        <v>11</v>
      </c>
    </row>
    <row r="681" spans="1:3" x14ac:dyDescent="0.3">
      <c r="A681" s="1">
        <v>46337</v>
      </c>
      <c r="B681" s="2">
        <v>2026</v>
      </c>
      <c r="C681" s="2">
        <v>11</v>
      </c>
    </row>
    <row r="682" spans="1:3" x14ac:dyDescent="0.3">
      <c r="A682" s="1">
        <v>46338</v>
      </c>
      <c r="B682" s="2">
        <v>2026</v>
      </c>
      <c r="C682" s="2">
        <v>11</v>
      </c>
    </row>
    <row r="683" spans="1:3" x14ac:dyDescent="0.3">
      <c r="A683" s="1">
        <v>46339</v>
      </c>
      <c r="B683" s="2">
        <v>2026</v>
      </c>
      <c r="C683" s="2">
        <v>11</v>
      </c>
    </row>
    <row r="684" spans="1:3" x14ac:dyDescent="0.3">
      <c r="A684" s="1">
        <v>46340</v>
      </c>
      <c r="B684" s="2">
        <v>2026</v>
      </c>
      <c r="C684" s="2">
        <v>11</v>
      </c>
    </row>
    <row r="685" spans="1:3" x14ac:dyDescent="0.3">
      <c r="A685" s="1">
        <v>46341</v>
      </c>
      <c r="B685" s="2">
        <v>2026</v>
      </c>
      <c r="C685" s="2">
        <v>11</v>
      </c>
    </row>
    <row r="686" spans="1:3" x14ac:dyDescent="0.3">
      <c r="A686" s="1">
        <v>46342</v>
      </c>
      <c r="B686" s="2">
        <v>2026</v>
      </c>
      <c r="C686" s="2">
        <v>11</v>
      </c>
    </row>
    <row r="687" spans="1:3" x14ac:dyDescent="0.3">
      <c r="A687" s="1">
        <v>46343</v>
      </c>
      <c r="B687" s="2">
        <v>2026</v>
      </c>
      <c r="C687" s="2">
        <v>11</v>
      </c>
    </row>
    <row r="688" spans="1:3" x14ac:dyDescent="0.3">
      <c r="A688" s="1">
        <v>46344</v>
      </c>
      <c r="B688" s="2">
        <v>2026</v>
      </c>
      <c r="C688" s="2">
        <v>11</v>
      </c>
    </row>
    <row r="689" spans="1:3" x14ac:dyDescent="0.3">
      <c r="A689" s="1">
        <v>46345</v>
      </c>
      <c r="B689" s="2">
        <v>2026</v>
      </c>
      <c r="C689" s="2">
        <v>11</v>
      </c>
    </row>
    <row r="690" spans="1:3" x14ac:dyDescent="0.3">
      <c r="A690" s="1">
        <v>46346</v>
      </c>
      <c r="B690" s="2">
        <v>2026</v>
      </c>
      <c r="C690" s="2">
        <v>11</v>
      </c>
    </row>
    <row r="691" spans="1:3" x14ac:dyDescent="0.3">
      <c r="A691" s="1">
        <v>46347</v>
      </c>
      <c r="B691" s="2">
        <v>2026</v>
      </c>
      <c r="C691" s="2">
        <v>11</v>
      </c>
    </row>
    <row r="692" spans="1:3" x14ac:dyDescent="0.3">
      <c r="A692" s="1">
        <v>46348</v>
      </c>
      <c r="B692" s="2">
        <v>2026</v>
      </c>
      <c r="C692" s="2">
        <v>11</v>
      </c>
    </row>
    <row r="693" spans="1:3" x14ac:dyDescent="0.3">
      <c r="A693" s="1">
        <v>46349</v>
      </c>
      <c r="B693" s="2">
        <v>2026</v>
      </c>
      <c r="C693" s="2">
        <v>11</v>
      </c>
    </row>
    <row r="694" spans="1:3" x14ac:dyDescent="0.3">
      <c r="A694" s="1">
        <v>46350</v>
      </c>
      <c r="B694" s="2">
        <v>2026</v>
      </c>
      <c r="C694" s="2">
        <v>11</v>
      </c>
    </row>
    <row r="695" spans="1:3" x14ac:dyDescent="0.3">
      <c r="A695" s="1">
        <v>46351</v>
      </c>
      <c r="B695" s="2">
        <v>2026</v>
      </c>
      <c r="C695" s="2">
        <v>11</v>
      </c>
    </row>
    <row r="696" spans="1:3" x14ac:dyDescent="0.3">
      <c r="A696" s="1">
        <v>46352</v>
      </c>
      <c r="B696" s="2">
        <v>2026</v>
      </c>
      <c r="C696" s="2">
        <v>11</v>
      </c>
    </row>
    <row r="697" spans="1:3" x14ac:dyDescent="0.3">
      <c r="A697" s="1">
        <v>46353</v>
      </c>
      <c r="B697" s="2">
        <v>2026</v>
      </c>
      <c r="C697" s="2">
        <v>11</v>
      </c>
    </row>
    <row r="698" spans="1:3" x14ac:dyDescent="0.3">
      <c r="A698" s="1">
        <v>46354</v>
      </c>
      <c r="B698" s="2">
        <v>2026</v>
      </c>
      <c r="C698" s="2">
        <v>11</v>
      </c>
    </row>
    <row r="699" spans="1:3" x14ac:dyDescent="0.3">
      <c r="A699" s="1">
        <v>46355</v>
      </c>
      <c r="B699" s="2">
        <v>2026</v>
      </c>
      <c r="C699" s="2">
        <v>11</v>
      </c>
    </row>
    <row r="700" spans="1:3" x14ac:dyDescent="0.3">
      <c r="A700" s="1">
        <v>46356</v>
      </c>
      <c r="B700" s="2">
        <v>2026</v>
      </c>
      <c r="C700" s="2">
        <v>11</v>
      </c>
    </row>
    <row r="701" spans="1:3" x14ac:dyDescent="0.3">
      <c r="A701" s="1">
        <v>46357</v>
      </c>
      <c r="B701" s="2">
        <v>2026</v>
      </c>
      <c r="C701" s="2">
        <v>12</v>
      </c>
    </row>
    <row r="702" spans="1:3" x14ac:dyDescent="0.3">
      <c r="A702" s="1">
        <v>46358</v>
      </c>
      <c r="B702" s="2">
        <v>2026</v>
      </c>
      <c r="C702" s="2">
        <v>12</v>
      </c>
    </row>
    <row r="703" spans="1:3" x14ac:dyDescent="0.3">
      <c r="A703" s="1">
        <v>46359</v>
      </c>
      <c r="B703" s="2">
        <v>2026</v>
      </c>
      <c r="C703" s="2">
        <v>12</v>
      </c>
    </row>
    <row r="704" spans="1:3" x14ac:dyDescent="0.3">
      <c r="A704" s="1">
        <v>46360</v>
      </c>
      <c r="B704" s="2">
        <v>2026</v>
      </c>
      <c r="C704" s="2">
        <v>12</v>
      </c>
    </row>
    <row r="705" spans="1:3" x14ac:dyDescent="0.3">
      <c r="A705" s="1">
        <v>46361</v>
      </c>
      <c r="B705" s="2">
        <v>2026</v>
      </c>
      <c r="C705" s="2">
        <v>12</v>
      </c>
    </row>
    <row r="706" spans="1:3" x14ac:dyDescent="0.3">
      <c r="A706" s="1">
        <v>46362</v>
      </c>
      <c r="B706" s="2">
        <v>2026</v>
      </c>
      <c r="C706" s="2">
        <v>12</v>
      </c>
    </row>
    <row r="707" spans="1:3" x14ac:dyDescent="0.3">
      <c r="A707" s="1">
        <v>46363</v>
      </c>
      <c r="B707" s="2">
        <v>2026</v>
      </c>
      <c r="C707" s="2">
        <v>12</v>
      </c>
    </row>
    <row r="708" spans="1:3" x14ac:dyDescent="0.3">
      <c r="A708" s="1">
        <v>46364</v>
      </c>
      <c r="B708" s="2">
        <v>2026</v>
      </c>
      <c r="C708" s="2">
        <v>12</v>
      </c>
    </row>
    <row r="709" spans="1:3" x14ac:dyDescent="0.3">
      <c r="A709" s="1">
        <v>46365</v>
      </c>
      <c r="B709" s="2">
        <v>2026</v>
      </c>
      <c r="C709" s="2">
        <v>12</v>
      </c>
    </row>
    <row r="710" spans="1:3" x14ac:dyDescent="0.3">
      <c r="A710" s="1">
        <v>46366</v>
      </c>
      <c r="B710" s="2">
        <v>2026</v>
      </c>
      <c r="C710" s="2">
        <v>12</v>
      </c>
    </row>
    <row r="711" spans="1:3" x14ac:dyDescent="0.3">
      <c r="A711" s="1">
        <v>46367</v>
      </c>
      <c r="B711" s="2">
        <v>2026</v>
      </c>
      <c r="C711" s="2">
        <v>12</v>
      </c>
    </row>
    <row r="712" spans="1:3" x14ac:dyDescent="0.3">
      <c r="A712" s="1">
        <v>46368</v>
      </c>
      <c r="B712" s="2">
        <v>2026</v>
      </c>
      <c r="C712" s="2">
        <v>12</v>
      </c>
    </row>
    <row r="713" spans="1:3" x14ac:dyDescent="0.3">
      <c r="A713" s="1">
        <v>46369</v>
      </c>
      <c r="B713" s="2">
        <v>2026</v>
      </c>
      <c r="C713" s="2">
        <v>12</v>
      </c>
    </row>
    <row r="714" spans="1:3" x14ac:dyDescent="0.3">
      <c r="A714" s="1">
        <v>46370</v>
      </c>
      <c r="B714" s="2">
        <v>2026</v>
      </c>
      <c r="C714" s="2">
        <v>12</v>
      </c>
    </row>
    <row r="715" spans="1:3" x14ac:dyDescent="0.3">
      <c r="A715" s="1">
        <v>46371</v>
      </c>
      <c r="B715" s="2">
        <v>2026</v>
      </c>
      <c r="C715" s="2">
        <v>12</v>
      </c>
    </row>
    <row r="716" spans="1:3" x14ac:dyDescent="0.3">
      <c r="A716" s="1">
        <v>46372</v>
      </c>
      <c r="B716" s="2">
        <v>2026</v>
      </c>
      <c r="C716" s="2">
        <v>12</v>
      </c>
    </row>
    <row r="717" spans="1:3" x14ac:dyDescent="0.3">
      <c r="A717" s="1">
        <v>46373</v>
      </c>
      <c r="B717" s="2">
        <v>2026</v>
      </c>
      <c r="C717" s="2">
        <v>12</v>
      </c>
    </row>
    <row r="718" spans="1:3" x14ac:dyDescent="0.3">
      <c r="A718" s="1">
        <v>46374</v>
      </c>
      <c r="B718" s="2">
        <v>2026</v>
      </c>
      <c r="C718" s="2">
        <v>12</v>
      </c>
    </row>
    <row r="719" spans="1:3" x14ac:dyDescent="0.3">
      <c r="A719" s="1">
        <v>46375</v>
      </c>
      <c r="B719" s="2">
        <v>2026</v>
      </c>
      <c r="C719" s="2">
        <v>12</v>
      </c>
    </row>
    <row r="720" spans="1:3" x14ac:dyDescent="0.3">
      <c r="A720" s="1">
        <v>46376</v>
      </c>
      <c r="B720" s="2">
        <v>2026</v>
      </c>
      <c r="C720" s="2">
        <v>12</v>
      </c>
    </row>
    <row r="721" spans="1:3" x14ac:dyDescent="0.3">
      <c r="A721" s="1">
        <v>46377</v>
      </c>
      <c r="B721" s="2">
        <v>2026</v>
      </c>
      <c r="C721" s="2">
        <v>12</v>
      </c>
    </row>
    <row r="722" spans="1:3" x14ac:dyDescent="0.3">
      <c r="A722" s="1">
        <v>46378</v>
      </c>
      <c r="B722" s="2">
        <v>2026</v>
      </c>
      <c r="C722" s="2">
        <v>12</v>
      </c>
    </row>
    <row r="723" spans="1:3" x14ac:dyDescent="0.3">
      <c r="A723" s="1">
        <v>46379</v>
      </c>
      <c r="B723" s="2">
        <v>2026</v>
      </c>
      <c r="C723" s="2">
        <v>12</v>
      </c>
    </row>
    <row r="724" spans="1:3" x14ac:dyDescent="0.3">
      <c r="A724" s="1">
        <v>46380</v>
      </c>
      <c r="B724" s="2">
        <v>2026</v>
      </c>
      <c r="C724" s="2">
        <v>12</v>
      </c>
    </row>
    <row r="725" spans="1:3" x14ac:dyDescent="0.3">
      <c r="A725" s="1">
        <v>46381</v>
      </c>
      <c r="B725" s="2">
        <v>2026</v>
      </c>
      <c r="C725" s="2">
        <v>12</v>
      </c>
    </row>
    <row r="726" spans="1:3" x14ac:dyDescent="0.3">
      <c r="A726" s="1">
        <v>46382</v>
      </c>
      <c r="B726" s="2">
        <v>2026</v>
      </c>
      <c r="C726" s="2">
        <v>12</v>
      </c>
    </row>
    <row r="727" spans="1:3" x14ac:dyDescent="0.3">
      <c r="A727" s="1">
        <v>46383</v>
      </c>
      <c r="B727" s="2">
        <v>2026</v>
      </c>
      <c r="C727" s="2">
        <v>12</v>
      </c>
    </row>
    <row r="728" spans="1:3" x14ac:dyDescent="0.3">
      <c r="A728" s="1">
        <v>46384</v>
      </c>
      <c r="B728" s="2">
        <v>2026</v>
      </c>
      <c r="C728" s="2">
        <v>12</v>
      </c>
    </row>
    <row r="729" spans="1:3" x14ac:dyDescent="0.3">
      <c r="A729" s="1">
        <v>46385</v>
      </c>
      <c r="B729" s="2">
        <v>2026</v>
      </c>
      <c r="C729" s="2">
        <v>12</v>
      </c>
    </row>
    <row r="730" spans="1:3" x14ac:dyDescent="0.3">
      <c r="A730" s="1">
        <v>46386</v>
      </c>
      <c r="B730" s="2">
        <v>2026</v>
      </c>
      <c r="C730" s="2">
        <v>12</v>
      </c>
    </row>
    <row r="731" spans="1:3" x14ac:dyDescent="0.3">
      <c r="A731" s="1">
        <v>46387</v>
      </c>
      <c r="B731" s="2">
        <v>2026</v>
      </c>
      <c r="C731" s="2">
        <v>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C78387-5D34-4896-95EA-E058580414E4}">
  <sheetPr codeName="Sheet5"/>
  <dimension ref="A1:C21"/>
  <sheetViews>
    <sheetView workbookViewId="0">
      <selection sqref="A1:A1048576"/>
    </sheetView>
  </sheetViews>
  <sheetFormatPr defaultRowHeight="14.4" x14ac:dyDescent="0.3"/>
  <cols>
    <col min="1" max="1" width="7.21875" style="2" bestFit="1" customWidth="1"/>
    <col min="2" max="2" width="11.44140625" bestFit="1" customWidth="1"/>
    <col min="3" max="3" width="12.6640625" bestFit="1" customWidth="1"/>
  </cols>
  <sheetData>
    <row r="1" spans="1:3" x14ac:dyDescent="0.3">
      <c r="A1" s="2" t="s">
        <v>295</v>
      </c>
      <c r="B1" t="s">
        <v>296</v>
      </c>
      <c r="C1" t="s">
        <v>27</v>
      </c>
    </row>
    <row r="2" spans="1:3" x14ac:dyDescent="0.3">
      <c r="A2" s="2">
        <v>1</v>
      </c>
      <c r="B2" t="s">
        <v>164</v>
      </c>
      <c r="C2" t="s">
        <v>74</v>
      </c>
    </row>
    <row r="3" spans="1:3" x14ac:dyDescent="0.3">
      <c r="A3" s="2">
        <v>2</v>
      </c>
      <c r="B3" t="s">
        <v>174</v>
      </c>
      <c r="C3" t="s">
        <v>74</v>
      </c>
    </row>
    <row r="4" spans="1:3" x14ac:dyDescent="0.3">
      <c r="A4" s="2">
        <v>3</v>
      </c>
      <c r="B4" t="s">
        <v>73</v>
      </c>
      <c r="C4" t="s">
        <v>74</v>
      </c>
    </row>
    <row r="5" spans="1:3" x14ac:dyDescent="0.3">
      <c r="A5" s="2">
        <v>4</v>
      </c>
      <c r="B5" t="s">
        <v>183</v>
      </c>
      <c r="C5" t="s">
        <v>74</v>
      </c>
    </row>
    <row r="6" spans="1:3" x14ac:dyDescent="0.3">
      <c r="A6" s="2">
        <v>5</v>
      </c>
      <c r="B6" t="s">
        <v>169</v>
      </c>
      <c r="C6" t="s">
        <v>50</v>
      </c>
    </row>
    <row r="7" spans="1:3" x14ac:dyDescent="0.3">
      <c r="A7" s="2">
        <v>6</v>
      </c>
      <c r="B7" t="s">
        <v>49</v>
      </c>
      <c r="C7" t="s">
        <v>50</v>
      </c>
    </row>
    <row r="8" spans="1:3" x14ac:dyDescent="0.3">
      <c r="A8" s="2">
        <v>7</v>
      </c>
      <c r="B8" t="s">
        <v>105</v>
      </c>
      <c r="C8" t="s">
        <v>50</v>
      </c>
    </row>
    <row r="9" spans="1:3" x14ac:dyDescent="0.3">
      <c r="A9" s="2">
        <v>8</v>
      </c>
      <c r="B9" t="s">
        <v>115</v>
      </c>
      <c r="C9" t="s">
        <v>50</v>
      </c>
    </row>
    <row r="10" spans="1:3" x14ac:dyDescent="0.3">
      <c r="A10" s="2">
        <v>9</v>
      </c>
      <c r="B10" t="s">
        <v>89</v>
      </c>
      <c r="C10" t="s">
        <v>50</v>
      </c>
    </row>
    <row r="11" spans="1:3" x14ac:dyDescent="0.3">
      <c r="A11" s="2">
        <v>10</v>
      </c>
      <c r="B11" t="s">
        <v>120</v>
      </c>
      <c r="C11" t="s">
        <v>62</v>
      </c>
    </row>
    <row r="12" spans="1:3" x14ac:dyDescent="0.3">
      <c r="A12" s="2">
        <v>11</v>
      </c>
      <c r="B12" t="s">
        <v>84</v>
      </c>
      <c r="C12" t="s">
        <v>62</v>
      </c>
    </row>
    <row r="13" spans="1:3" x14ac:dyDescent="0.3">
      <c r="A13" s="2">
        <v>12</v>
      </c>
      <c r="B13" t="s">
        <v>61</v>
      </c>
      <c r="C13" t="s">
        <v>62</v>
      </c>
    </row>
    <row r="14" spans="1:3" x14ac:dyDescent="0.3">
      <c r="A14" s="2">
        <v>13</v>
      </c>
      <c r="B14" t="s">
        <v>125</v>
      </c>
      <c r="C14" t="s">
        <v>62</v>
      </c>
    </row>
    <row r="15" spans="1:3" x14ac:dyDescent="0.3">
      <c r="A15" s="2">
        <v>14</v>
      </c>
      <c r="B15" t="s">
        <v>110</v>
      </c>
      <c r="C15" t="s">
        <v>36</v>
      </c>
    </row>
    <row r="16" spans="1:3" x14ac:dyDescent="0.3">
      <c r="A16" s="2">
        <v>15</v>
      </c>
      <c r="B16" t="s">
        <v>130</v>
      </c>
      <c r="C16" t="s">
        <v>36</v>
      </c>
    </row>
    <row r="17" spans="1:3" x14ac:dyDescent="0.3">
      <c r="A17" s="2">
        <v>16</v>
      </c>
      <c r="B17" t="s">
        <v>35</v>
      </c>
      <c r="C17" t="s">
        <v>36</v>
      </c>
    </row>
    <row r="18" spans="1:3" x14ac:dyDescent="0.3">
      <c r="A18" s="2">
        <v>17</v>
      </c>
      <c r="B18" t="s">
        <v>97</v>
      </c>
      <c r="C18" t="s">
        <v>98</v>
      </c>
    </row>
    <row r="19" spans="1:3" x14ac:dyDescent="0.3">
      <c r="A19" s="2">
        <v>18</v>
      </c>
      <c r="B19" t="s">
        <v>135</v>
      </c>
      <c r="C19" t="s">
        <v>98</v>
      </c>
    </row>
    <row r="20" spans="1:3" x14ac:dyDescent="0.3">
      <c r="A20" s="2">
        <v>19</v>
      </c>
      <c r="B20" t="s">
        <v>148</v>
      </c>
      <c r="C20" t="s">
        <v>98</v>
      </c>
    </row>
    <row r="21" spans="1:3" x14ac:dyDescent="0.3">
      <c r="A21" s="2">
        <v>20</v>
      </c>
      <c r="B21" t="s">
        <v>153</v>
      </c>
      <c r="C21" t="s">
        <v>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B4DE5E-5F81-4A9D-AAAC-0A6C0E9FCBE2}">
  <sheetPr codeName="Sheet6"/>
  <dimension ref="A1:E15"/>
  <sheetViews>
    <sheetView workbookViewId="0"/>
  </sheetViews>
  <sheetFormatPr defaultRowHeight="14.4" x14ac:dyDescent="0.3"/>
  <cols>
    <col min="1" max="1" width="7.33203125" bestFit="1" customWidth="1"/>
    <col min="2" max="2" width="12.77734375" bestFit="1" customWidth="1"/>
    <col min="3" max="3" width="9.88671875" bestFit="1" customWidth="1"/>
    <col min="4" max="4" width="8.21875" bestFit="1" customWidth="1"/>
    <col min="5" max="5" width="12.21875" bestFit="1" customWidth="1"/>
  </cols>
  <sheetData>
    <row r="1" spans="1:5" x14ac:dyDescent="0.3">
      <c r="A1" t="s">
        <v>297</v>
      </c>
      <c r="B1" t="s">
        <v>298</v>
      </c>
      <c r="C1" t="s">
        <v>299</v>
      </c>
      <c r="D1" t="s">
        <v>300</v>
      </c>
      <c r="E1" t="s">
        <v>301</v>
      </c>
    </row>
    <row r="2" spans="1:5" x14ac:dyDescent="0.3">
      <c r="A2">
        <v>1</v>
      </c>
      <c r="B2" t="s">
        <v>302</v>
      </c>
      <c r="C2" t="s">
        <v>303</v>
      </c>
      <c r="D2" t="s">
        <v>304</v>
      </c>
      <c r="E2">
        <v>10</v>
      </c>
    </row>
    <row r="3" spans="1:5" x14ac:dyDescent="0.3">
      <c r="A3">
        <v>2</v>
      </c>
      <c r="B3" t="s">
        <v>305</v>
      </c>
      <c r="C3" t="s">
        <v>303</v>
      </c>
      <c r="D3" t="s">
        <v>306</v>
      </c>
      <c r="E3">
        <v>30</v>
      </c>
    </row>
    <row r="4" spans="1:5" x14ac:dyDescent="0.3">
      <c r="A4">
        <v>4</v>
      </c>
      <c r="B4" t="s">
        <v>307</v>
      </c>
      <c r="C4" t="s">
        <v>308</v>
      </c>
      <c r="D4" t="s">
        <v>304</v>
      </c>
      <c r="E4">
        <v>20</v>
      </c>
    </row>
    <row r="5" spans="1:5" x14ac:dyDescent="0.3">
      <c r="A5">
        <v>5</v>
      </c>
      <c r="B5" t="s">
        <v>307</v>
      </c>
      <c r="C5" t="s">
        <v>308</v>
      </c>
      <c r="D5" t="s">
        <v>306</v>
      </c>
      <c r="E5">
        <v>20</v>
      </c>
    </row>
    <row r="6" spans="1:5" x14ac:dyDescent="0.3">
      <c r="A6">
        <v>3</v>
      </c>
      <c r="B6" t="s">
        <v>309</v>
      </c>
      <c r="C6" t="s">
        <v>308</v>
      </c>
      <c r="D6" t="s">
        <v>306</v>
      </c>
      <c r="E6">
        <v>40</v>
      </c>
    </row>
    <row r="7" spans="1:5" x14ac:dyDescent="0.3">
      <c r="A7">
        <v>6</v>
      </c>
      <c r="B7" t="s">
        <v>302</v>
      </c>
      <c r="C7" t="s">
        <v>308</v>
      </c>
      <c r="D7" t="s">
        <v>306</v>
      </c>
      <c r="E7">
        <v>10</v>
      </c>
    </row>
    <row r="8" spans="1:5" x14ac:dyDescent="0.3">
      <c r="A8">
        <v>7</v>
      </c>
      <c r="B8" t="s">
        <v>305</v>
      </c>
      <c r="C8" t="s">
        <v>308</v>
      </c>
      <c r="D8" t="s">
        <v>304</v>
      </c>
      <c r="E8">
        <v>30</v>
      </c>
    </row>
    <row r="9" spans="1:5" x14ac:dyDescent="0.3">
      <c r="A9">
        <v>8</v>
      </c>
      <c r="B9" t="s">
        <v>307</v>
      </c>
      <c r="C9" t="s">
        <v>303</v>
      </c>
      <c r="D9" t="s">
        <v>304</v>
      </c>
      <c r="E9">
        <v>20</v>
      </c>
    </row>
    <row r="10" spans="1:5" x14ac:dyDescent="0.3">
      <c r="A10">
        <v>9</v>
      </c>
      <c r="B10" t="s">
        <v>309</v>
      </c>
      <c r="C10" t="s">
        <v>308</v>
      </c>
      <c r="D10" t="s">
        <v>304</v>
      </c>
      <c r="E10">
        <v>40</v>
      </c>
    </row>
    <row r="11" spans="1:5" x14ac:dyDescent="0.3">
      <c r="A11">
        <v>10</v>
      </c>
      <c r="B11" t="s">
        <v>305</v>
      </c>
      <c r="C11" t="s">
        <v>308</v>
      </c>
      <c r="D11" t="s">
        <v>306</v>
      </c>
      <c r="E11">
        <v>30</v>
      </c>
    </row>
    <row r="12" spans="1:5" x14ac:dyDescent="0.3">
      <c r="A12">
        <v>11</v>
      </c>
      <c r="B12" t="s">
        <v>305</v>
      </c>
      <c r="C12" t="s">
        <v>310</v>
      </c>
      <c r="D12" t="s">
        <v>306</v>
      </c>
      <c r="E12">
        <v>30</v>
      </c>
    </row>
    <row r="13" spans="1:5" x14ac:dyDescent="0.3">
      <c r="A13">
        <v>12</v>
      </c>
      <c r="B13" t="s">
        <v>302</v>
      </c>
      <c r="C13" t="s">
        <v>310</v>
      </c>
      <c r="D13" t="s">
        <v>306</v>
      </c>
      <c r="E13">
        <v>10</v>
      </c>
    </row>
    <row r="14" spans="1:5" x14ac:dyDescent="0.3">
      <c r="A14">
        <v>13</v>
      </c>
      <c r="B14" t="s">
        <v>302</v>
      </c>
      <c r="C14" t="s">
        <v>308</v>
      </c>
      <c r="D14" t="s">
        <v>304</v>
      </c>
      <c r="E14">
        <v>10</v>
      </c>
    </row>
    <row r="15" spans="1:5" x14ac:dyDescent="0.3">
      <c r="A15">
        <v>14</v>
      </c>
      <c r="B15" t="s">
        <v>307</v>
      </c>
      <c r="C15" t="s">
        <v>310</v>
      </c>
      <c r="D15" t="s">
        <v>306</v>
      </c>
      <c r="E15">
        <v>20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F03E1-C689-47AB-93F5-B047C4ECEDAA}">
  <sheetPr codeName="Sheet7"/>
  <dimension ref="A1:H61"/>
  <sheetViews>
    <sheetView topLeftCell="A7" workbookViewId="0"/>
  </sheetViews>
  <sheetFormatPr defaultRowHeight="14.4" x14ac:dyDescent="0.3"/>
  <cols>
    <col min="1" max="1" width="10.6640625" bestFit="1" customWidth="1"/>
    <col min="2" max="2" width="12" bestFit="1" customWidth="1"/>
    <col min="3" max="3" width="14.109375" bestFit="1" customWidth="1"/>
    <col min="4" max="4" width="6.77734375" bestFit="1" customWidth="1"/>
    <col min="5" max="5" width="11.5546875" bestFit="1" customWidth="1"/>
    <col min="6" max="6" width="10" bestFit="1" customWidth="1"/>
    <col min="8" max="8" width="14.44140625" bestFit="1" customWidth="1"/>
  </cols>
  <sheetData>
    <row r="1" spans="1:8" x14ac:dyDescent="0.3">
      <c r="A1" t="s">
        <v>311</v>
      </c>
      <c r="B1" t="s">
        <v>312</v>
      </c>
      <c r="C1" t="s">
        <v>313</v>
      </c>
      <c r="D1" t="s">
        <v>314</v>
      </c>
      <c r="E1" t="s">
        <v>315</v>
      </c>
      <c r="F1" t="s">
        <v>316</v>
      </c>
      <c r="G1" t="s">
        <v>317</v>
      </c>
      <c r="H1" t="s">
        <v>318</v>
      </c>
    </row>
    <row r="2" spans="1:8" x14ac:dyDescent="0.3">
      <c r="A2">
        <v>1</v>
      </c>
      <c r="B2" t="s">
        <v>319</v>
      </c>
      <c r="C2" t="s">
        <v>320</v>
      </c>
      <c r="D2" t="s">
        <v>321</v>
      </c>
      <c r="E2" t="s">
        <v>322</v>
      </c>
      <c r="F2" t="s">
        <v>323</v>
      </c>
      <c r="G2">
        <v>220.9</v>
      </c>
      <c r="H2" t="s">
        <v>324</v>
      </c>
    </row>
    <row r="3" spans="1:8" x14ac:dyDescent="0.3">
      <c r="A3">
        <v>2</v>
      </c>
      <c r="B3" t="s">
        <v>325</v>
      </c>
      <c r="C3" t="s">
        <v>326</v>
      </c>
      <c r="D3" t="s">
        <v>327</v>
      </c>
      <c r="E3" t="s">
        <v>322</v>
      </c>
      <c r="F3" t="s">
        <v>323</v>
      </c>
      <c r="G3">
        <v>694.96</v>
      </c>
      <c r="H3" t="s">
        <v>328</v>
      </c>
    </row>
    <row r="4" spans="1:8" x14ac:dyDescent="0.3">
      <c r="A4">
        <v>3</v>
      </c>
      <c r="B4" t="s">
        <v>329</v>
      </c>
      <c r="C4" t="s">
        <v>330</v>
      </c>
      <c r="D4" t="s">
        <v>331</v>
      </c>
      <c r="E4" t="s">
        <v>332</v>
      </c>
      <c r="F4" t="s">
        <v>323</v>
      </c>
      <c r="G4">
        <v>624.02</v>
      </c>
      <c r="H4" t="s">
        <v>333</v>
      </c>
    </row>
    <row r="5" spans="1:8" x14ac:dyDescent="0.3">
      <c r="A5">
        <v>4</v>
      </c>
      <c r="B5" t="s">
        <v>334</v>
      </c>
      <c r="C5" t="s">
        <v>335</v>
      </c>
      <c r="D5" t="s">
        <v>336</v>
      </c>
      <c r="E5" t="s">
        <v>337</v>
      </c>
      <c r="F5" t="s">
        <v>323</v>
      </c>
      <c r="G5">
        <v>648.67999999999995</v>
      </c>
      <c r="H5" t="s">
        <v>338</v>
      </c>
    </row>
    <row r="6" spans="1:8" x14ac:dyDescent="0.3">
      <c r="A6">
        <v>5</v>
      </c>
      <c r="B6" t="s">
        <v>339</v>
      </c>
      <c r="C6" t="s">
        <v>340</v>
      </c>
      <c r="D6" t="s">
        <v>341</v>
      </c>
      <c r="E6" t="s">
        <v>342</v>
      </c>
      <c r="F6" t="s">
        <v>343</v>
      </c>
      <c r="G6">
        <v>412.55</v>
      </c>
      <c r="H6" t="s">
        <v>333</v>
      </c>
    </row>
    <row r="7" spans="1:8" x14ac:dyDescent="0.3">
      <c r="A7">
        <v>6</v>
      </c>
      <c r="B7" t="s">
        <v>344</v>
      </c>
      <c r="C7" t="s">
        <v>345</v>
      </c>
      <c r="D7" t="s">
        <v>346</v>
      </c>
      <c r="E7" t="s">
        <v>347</v>
      </c>
      <c r="F7" t="s">
        <v>343</v>
      </c>
      <c r="G7">
        <v>686.54</v>
      </c>
      <c r="H7" t="s">
        <v>328</v>
      </c>
    </row>
    <row r="8" spans="1:8" x14ac:dyDescent="0.3">
      <c r="A8">
        <v>7</v>
      </c>
      <c r="B8" t="s">
        <v>348</v>
      </c>
      <c r="C8" t="s">
        <v>349</v>
      </c>
      <c r="D8" t="s">
        <v>350</v>
      </c>
      <c r="E8" t="s">
        <v>351</v>
      </c>
      <c r="F8" t="s">
        <v>343</v>
      </c>
      <c r="G8">
        <v>260.92</v>
      </c>
      <c r="H8" t="s">
        <v>352</v>
      </c>
    </row>
    <row r="9" spans="1:8" x14ac:dyDescent="0.3">
      <c r="A9">
        <v>8</v>
      </c>
      <c r="B9" t="s">
        <v>353</v>
      </c>
      <c r="C9" t="s">
        <v>354</v>
      </c>
      <c r="D9" t="s">
        <v>355</v>
      </c>
      <c r="E9" t="s">
        <v>356</v>
      </c>
      <c r="F9" t="s">
        <v>357</v>
      </c>
      <c r="G9">
        <v>105.46</v>
      </c>
      <c r="H9" t="s">
        <v>358</v>
      </c>
    </row>
    <row r="10" spans="1:8" x14ac:dyDescent="0.3">
      <c r="A10">
        <v>9</v>
      </c>
      <c r="B10" t="s">
        <v>359</v>
      </c>
      <c r="C10" t="s">
        <v>360</v>
      </c>
      <c r="D10" t="s">
        <v>361</v>
      </c>
      <c r="E10" t="s">
        <v>362</v>
      </c>
      <c r="F10" t="s">
        <v>357</v>
      </c>
      <c r="G10">
        <v>319.39999999999998</v>
      </c>
      <c r="H10" t="s">
        <v>363</v>
      </c>
    </row>
    <row r="11" spans="1:8" x14ac:dyDescent="0.3">
      <c r="A11">
        <v>10</v>
      </c>
      <c r="B11" t="s">
        <v>364</v>
      </c>
      <c r="C11" t="s">
        <v>365</v>
      </c>
      <c r="D11" t="s">
        <v>331</v>
      </c>
      <c r="E11" t="s">
        <v>366</v>
      </c>
      <c r="F11" t="s">
        <v>357</v>
      </c>
      <c r="G11">
        <v>421.59</v>
      </c>
      <c r="H11" t="s">
        <v>367</v>
      </c>
    </row>
    <row r="12" spans="1:8" x14ac:dyDescent="0.3">
      <c r="A12">
        <v>11</v>
      </c>
      <c r="B12" t="s">
        <v>368</v>
      </c>
      <c r="C12" t="s">
        <v>369</v>
      </c>
      <c r="D12" t="s">
        <v>327</v>
      </c>
      <c r="E12" t="s">
        <v>370</v>
      </c>
      <c r="F12" t="s">
        <v>371</v>
      </c>
      <c r="G12">
        <v>84.74</v>
      </c>
      <c r="H12" t="s">
        <v>372</v>
      </c>
    </row>
    <row r="13" spans="1:8" x14ac:dyDescent="0.3">
      <c r="A13">
        <v>12</v>
      </c>
      <c r="B13" t="s">
        <v>373</v>
      </c>
      <c r="C13" t="s">
        <v>374</v>
      </c>
      <c r="D13" t="s">
        <v>375</v>
      </c>
      <c r="E13" t="s">
        <v>376</v>
      </c>
      <c r="F13" t="s">
        <v>371</v>
      </c>
      <c r="G13">
        <v>798.62</v>
      </c>
      <c r="H13" t="s">
        <v>377</v>
      </c>
    </row>
    <row r="14" spans="1:8" x14ac:dyDescent="0.3">
      <c r="A14">
        <v>13</v>
      </c>
      <c r="B14" t="s">
        <v>378</v>
      </c>
      <c r="C14" t="s">
        <v>379</v>
      </c>
      <c r="D14" t="s">
        <v>321</v>
      </c>
      <c r="E14" t="s">
        <v>380</v>
      </c>
      <c r="F14" t="s">
        <v>371</v>
      </c>
      <c r="G14">
        <v>76.56</v>
      </c>
      <c r="H14" t="s">
        <v>381</v>
      </c>
    </row>
    <row r="15" spans="1:8" x14ac:dyDescent="0.3">
      <c r="A15">
        <v>14</v>
      </c>
      <c r="B15" t="s">
        <v>382</v>
      </c>
      <c r="C15" t="s">
        <v>383</v>
      </c>
      <c r="D15" t="s">
        <v>336</v>
      </c>
      <c r="E15" t="s">
        <v>384</v>
      </c>
      <c r="F15" t="s">
        <v>385</v>
      </c>
      <c r="G15">
        <v>886.92</v>
      </c>
      <c r="H15" t="s">
        <v>386</v>
      </c>
    </row>
    <row r="16" spans="1:8" x14ac:dyDescent="0.3">
      <c r="A16">
        <v>15</v>
      </c>
      <c r="B16" t="s">
        <v>387</v>
      </c>
      <c r="C16" t="s">
        <v>388</v>
      </c>
      <c r="D16" t="s">
        <v>341</v>
      </c>
      <c r="E16" t="s">
        <v>389</v>
      </c>
      <c r="F16" t="s">
        <v>385</v>
      </c>
      <c r="G16">
        <v>351.41</v>
      </c>
      <c r="H16" t="s">
        <v>390</v>
      </c>
    </row>
    <row r="17" spans="1:8" x14ac:dyDescent="0.3">
      <c r="A17">
        <v>16</v>
      </c>
      <c r="B17" t="s">
        <v>391</v>
      </c>
      <c r="C17" t="s">
        <v>392</v>
      </c>
      <c r="D17" t="s">
        <v>346</v>
      </c>
      <c r="E17" t="s">
        <v>393</v>
      </c>
      <c r="F17" t="s">
        <v>385</v>
      </c>
      <c r="G17">
        <v>158.94999999999999</v>
      </c>
      <c r="H17" t="s">
        <v>394</v>
      </c>
    </row>
    <row r="18" spans="1:8" x14ac:dyDescent="0.3">
      <c r="A18">
        <v>17</v>
      </c>
      <c r="B18" t="s">
        <v>395</v>
      </c>
      <c r="C18" t="s">
        <v>396</v>
      </c>
      <c r="D18" t="s">
        <v>350</v>
      </c>
      <c r="E18" t="s">
        <v>397</v>
      </c>
      <c r="F18" t="s">
        <v>398</v>
      </c>
      <c r="G18">
        <v>636.11</v>
      </c>
      <c r="H18" t="s">
        <v>399</v>
      </c>
    </row>
    <row r="19" spans="1:8" x14ac:dyDescent="0.3">
      <c r="A19">
        <v>18</v>
      </c>
      <c r="B19" t="s">
        <v>400</v>
      </c>
      <c r="C19" t="s">
        <v>401</v>
      </c>
      <c r="D19" t="s">
        <v>355</v>
      </c>
      <c r="E19" t="s">
        <v>402</v>
      </c>
      <c r="F19" t="s">
        <v>398</v>
      </c>
      <c r="G19">
        <v>576.96</v>
      </c>
      <c r="H19" t="s">
        <v>324</v>
      </c>
    </row>
    <row r="20" spans="1:8" x14ac:dyDescent="0.3">
      <c r="A20">
        <v>19</v>
      </c>
      <c r="B20" t="s">
        <v>403</v>
      </c>
      <c r="C20" t="s">
        <v>404</v>
      </c>
      <c r="D20" t="s">
        <v>361</v>
      </c>
      <c r="E20" t="s">
        <v>405</v>
      </c>
      <c r="F20" t="s">
        <v>398</v>
      </c>
      <c r="G20">
        <v>424.1</v>
      </c>
      <c r="H20" t="s">
        <v>338</v>
      </c>
    </row>
    <row r="21" spans="1:8" x14ac:dyDescent="0.3">
      <c r="A21">
        <v>20</v>
      </c>
      <c r="B21" t="s">
        <v>406</v>
      </c>
      <c r="C21" t="s">
        <v>407</v>
      </c>
      <c r="D21" t="s">
        <v>375</v>
      </c>
      <c r="E21" t="s">
        <v>337</v>
      </c>
      <c r="F21" t="s">
        <v>323</v>
      </c>
      <c r="G21">
        <v>727.47</v>
      </c>
      <c r="H21" t="s">
        <v>352</v>
      </c>
    </row>
    <row r="22" spans="1:8" x14ac:dyDescent="0.3">
      <c r="A22">
        <v>21</v>
      </c>
      <c r="B22" t="s">
        <v>408</v>
      </c>
      <c r="C22" t="s">
        <v>409</v>
      </c>
      <c r="D22" t="s">
        <v>321</v>
      </c>
      <c r="E22" t="s">
        <v>342</v>
      </c>
      <c r="F22" t="s">
        <v>343</v>
      </c>
      <c r="G22">
        <v>823.13</v>
      </c>
      <c r="H22" t="s">
        <v>358</v>
      </c>
    </row>
    <row r="23" spans="1:8" x14ac:dyDescent="0.3">
      <c r="A23">
        <v>22</v>
      </c>
      <c r="B23" t="s">
        <v>410</v>
      </c>
      <c r="C23" t="s">
        <v>411</v>
      </c>
      <c r="D23" t="s">
        <v>336</v>
      </c>
      <c r="E23" t="s">
        <v>347</v>
      </c>
      <c r="F23" t="s">
        <v>343</v>
      </c>
      <c r="G23">
        <v>203.17</v>
      </c>
      <c r="H23" t="s">
        <v>363</v>
      </c>
    </row>
    <row r="24" spans="1:8" x14ac:dyDescent="0.3">
      <c r="A24">
        <v>23</v>
      </c>
      <c r="B24" t="s">
        <v>412</v>
      </c>
      <c r="C24" t="s">
        <v>413</v>
      </c>
      <c r="D24" t="s">
        <v>341</v>
      </c>
      <c r="E24" t="s">
        <v>351</v>
      </c>
      <c r="F24" t="s">
        <v>343</v>
      </c>
      <c r="G24">
        <v>583.91999999999996</v>
      </c>
      <c r="H24" t="s">
        <v>367</v>
      </c>
    </row>
    <row r="25" spans="1:8" x14ac:dyDescent="0.3">
      <c r="A25">
        <v>24</v>
      </c>
      <c r="B25" t="s">
        <v>414</v>
      </c>
      <c r="C25" t="s">
        <v>415</v>
      </c>
      <c r="D25" t="s">
        <v>346</v>
      </c>
      <c r="E25" t="s">
        <v>356</v>
      </c>
      <c r="F25" t="s">
        <v>357</v>
      </c>
      <c r="G25">
        <v>674.32</v>
      </c>
      <c r="H25" t="s">
        <v>372</v>
      </c>
    </row>
    <row r="26" spans="1:8" x14ac:dyDescent="0.3">
      <c r="A26">
        <v>25</v>
      </c>
      <c r="B26" t="s">
        <v>416</v>
      </c>
      <c r="C26" t="s">
        <v>417</v>
      </c>
      <c r="D26" t="s">
        <v>350</v>
      </c>
      <c r="E26" t="s">
        <v>362</v>
      </c>
      <c r="F26" t="s">
        <v>357</v>
      </c>
      <c r="G26">
        <v>394.16</v>
      </c>
      <c r="H26" t="s">
        <v>377</v>
      </c>
    </row>
    <row r="27" spans="1:8" x14ac:dyDescent="0.3">
      <c r="A27">
        <v>26</v>
      </c>
      <c r="B27" t="s">
        <v>418</v>
      </c>
      <c r="C27" t="s">
        <v>419</v>
      </c>
      <c r="D27" t="s">
        <v>355</v>
      </c>
      <c r="E27" t="s">
        <v>366</v>
      </c>
      <c r="F27" t="s">
        <v>357</v>
      </c>
      <c r="G27">
        <v>897.63</v>
      </c>
      <c r="H27" t="s">
        <v>381</v>
      </c>
    </row>
    <row r="28" spans="1:8" x14ac:dyDescent="0.3">
      <c r="A28">
        <v>27</v>
      </c>
      <c r="B28" t="s">
        <v>420</v>
      </c>
      <c r="C28" t="s">
        <v>421</v>
      </c>
      <c r="D28" t="s">
        <v>361</v>
      </c>
      <c r="E28" t="s">
        <v>370</v>
      </c>
      <c r="F28" t="s">
        <v>371</v>
      </c>
      <c r="G28">
        <v>683.87</v>
      </c>
      <c r="H28" t="s">
        <v>386</v>
      </c>
    </row>
    <row r="29" spans="1:8" x14ac:dyDescent="0.3">
      <c r="A29">
        <v>28</v>
      </c>
      <c r="B29" t="s">
        <v>422</v>
      </c>
      <c r="C29" t="s">
        <v>423</v>
      </c>
      <c r="D29" t="s">
        <v>331</v>
      </c>
      <c r="E29" t="s">
        <v>376</v>
      </c>
      <c r="F29" t="s">
        <v>371</v>
      </c>
      <c r="G29">
        <v>156.58000000000001</v>
      </c>
      <c r="H29" t="s">
        <v>390</v>
      </c>
    </row>
    <row r="30" spans="1:8" x14ac:dyDescent="0.3">
      <c r="A30">
        <v>29</v>
      </c>
      <c r="B30" t="s">
        <v>424</v>
      </c>
      <c r="C30" t="s">
        <v>425</v>
      </c>
      <c r="D30" t="s">
        <v>327</v>
      </c>
      <c r="E30" t="s">
        <v>380</v>
      </c>
      <c r="F30" t="s">
        <v>371</v>
      </c>
      <c r="G30">
        <v>355.52</v>
      </c>
      <c r="H30" t="s">
        <v>394</v>
      </c>
    </row>
    <row r="31" spans="1:8" x14ac:dyDescent="0.3">
      <c r="A31">
        <v>30</v>
      </c>
      <c r="B31" t="s">
        <v>426</v>
      </c>
      <c r="C31" t="s">
        <v>427</v>
      </c>
      <c r="D31" t="s">
        <v>375</v>
      </c>
      <c r="E31" t="s">
        <v>384</v>
      </c>
      <c r="F31" t="s">
        <v>385</v>
      </c>
      <c r="G31">
        <v>237.5</v>
      </c>
      <c r="H31" t="s">
        <v>399</v>
      </c>
    </row>
    <row r="32" spans="1:8" x14ac:dyDescent="0.3">
      <c r="A32">
        <v>31</v>
      </c>
      <c r="B32" t="s">
        <v>428</v>
      </c>
      <c r="C32" t="s">
        <v>429</v>
      </c>
      <c r="D32" t="s">
        <v>321</v>
      </c>
      <c r="E32" t="s">
        <v>389</v>
      </c>
      <c r="F32" t="s">
        <v>385</v>
      </c>
      <c r="G32">
        <v>617.04999999999995</v>
      </c>
      <c r="H32" t="s">
        <v>324</v>
      </c>
    </row>
    <row r="33" spans="1:8" x14ac:dyDescent="0.3">
      <c r="A33">
        <v>32</v>
      </c>
      <c r="B33" t="s">
        <v>430</v>
      </c>
      <c r="C33" t="s">
        <v>431</v>
      </c>
      <c r="D33" t="s">
        <v>336</v>
      </c>
      <c r="E33" t="s">
        <v>393</v>
      </c>
      <c r="F33" t="s">
        <v>385</v>
      </c>
      <c r="G33">
        <v>679.53</v>
      </c>
      <c r="H33" t="s">
        <v>338</v>
      </c>
    </row>
    <row r="34" spans="1:8" x14ac:dyDescent="0.3">
      <c r="A34">
        <v>33</v>
      </c>
      <c r="B34" t="s">
        <v>432</v>
      </c>
      <c r="C34" t="s">
        <v>433</v>
      </c>
      <c r="D34" t="s">
        <v>341</v>
      </c>
      <c r="E34" t="s">
        <v>397</v>
      </c>
      <c r="F34" t="s">
        <v>398</v>
      </c>
      <c r="G34">
        <v>274.75</v>
      </c>
      <c r="H34" t="s">
        <v>333</v>
      </c>
    </row>
    <row r="35" spans="1:8" x14ac:dyDescent="0.3">
      <c r="A35">
        <v>34</v>
      </c>
      <c r="B35" t="s">
        <v>434</v>
      </c>
      <c r="C35" t="s">
        <v>435</v>
      </c>
      <c r="D35" t="s">
        <v>346</v>
      </c>
      <c r="E35" t="s">
        <v>402</v>
      </c>
      <c r="F35" t="s">
        <v>398</v>
      </c>
      <c r="G35">
        <v>654.04999999999995</v>
      </c>
      <c r="H35" t="s">
        <v>328</v>
      </c>
    </row>
    <row r="36" spans="1:8" x14ac:dyDescent="0.3">
      <c r="A36">
        <v>35</v>
      </c>
      <c r="B36" t="s">
        <v>436</v>
      </c>
      <c r="C36" t="s">
        <v>437</v>
      </c>
      <c r="D36" t="s">
        <v>350</v>
      </c>
      <c r="E36" t="s">
        <v>405</v>
      </c>
      <c r="F36" t="s">
        <v>398</v>
      </c>
      <c r="G36">
        <v>689.34</v>
      </c>
      <c r="H36" t="s">
        <v>352</v>
      </c>
    </row>
    <row r="37" spans="1:8" x14ac:dyDescent="0.3">
      <c r="A37">
        <v>36</v>
      </c>
      <c r="B37" t="s">
        <v>438</v>
      </c>
      <c r="C37" t="s">
        <v>439</v>
      </c>
      <c r="D37" t="s">
        <v>355</v>
      </c>
      <c r="E37" t="s">
        <v>332</v>
      </c>
      <c r="F37" t="s">
        <v>323</v>
      </c>
      <c r="G37">
        <v>568.39</v>
      </c>
      <c r="H37" t="s">
        <v>358</v>
      </c>
    </row>
    <row r="38" spans="1:8" x14ac:dyDescent="0.3">
      <c r="A38">
        <v>37</v>
      </c>
      <c r="B38" t="s">
        <v>440</v>
      </c>
      <c r="C38" t="s">
        <v>441</v>
      </c>
      <c r="D38" t="s">
        <v>361</v>
      </c>
      <c r="E38" t="s">
        <v>322</v>
      </c>
      <c r="F38" t="s">
        <v>323</v>
      </c>
      <c r="G38">
        <v>191.04</v>
      </c>
      <c r="H38" t="s">
        <v>363</v>
      </c>
    </row>
    <row r="39" spans="1:8" x14ac:dyDescent="0.3">
      <c r="A39">
        <v>38</v>
      </c>
      <c r="B39" t="s">
        <v>442</v>
      </c>
      <c r="C39" t="s">
        <v>443</v>
      </c>
      <c r="D39" t="s">
        <v>331</v>
      </c>
      <c r="E39" t="s">
        <v>337</v>
      </c>
      <c r="F39" t="s">
        <v>323</v>
      </c>
      <c r="G39">
        <v>858.85</v>
      </c>
      <c r="H39" t="s">
        <v>367</v>
      </c>
    </row>
    <row r="40" spans="1:8" x14ac:dyDescent="0.3">
      <c r="A40">
        <v>39</v>
      </c>
      <c r="B40" t="s">
        <v>444</v>
      </c>
      <c r="C40" t="s">
        <v>445</v>
      </c>
      <c r="D40" t="s">
        <v>327</v>
      </c>
      <c r="E40" t="s">
        <v>342</v>
      </c>
      <c r="F40" t="s">
        <v>343</v>
      </c>
      <c r="G40">
        <v>545.07000000000005</v>
      </c>
      <c r="H40" t="s">
        <v>372</v>
      </c>
    </row>
    <row r="41" spans="1:8" x14ac:dyDescent="0.3">
      <c r="A41">
        <v>40</v>
      </c>
      <c r="B41" t="s">
        <v>446</v>
      </c>
      <c r="C41" t="s">
        <v>447</v>
      </c>
      <c r="D41" t="s">
        <v>375</v>
      </c>
      <c r="E41" t="s">
        <v>347</v>
      </c>
      <c r="F41" t="s">
        <v>343</v>
      </c>
      <c r="G41">
        <v>336.24</v>
      </c>
      <c r="H41" t="s">
        <v>377</v>
      </c>
    </row>
    <row r="42" spans="1:8" x14ac:dyDescent="0.3">
      <c r="A42">
        <v>41</v>
      </c>
      <c r="B42" t="s">
        <v>448</v>
      </c>
      <c r="C42" t="s">
        <v>449</v>
      </c>
      <c r="D42" t="s">
        <v>321</v>
      </c>
      <c r="E42" t="s">
        <v>351</v>
      </c>
      <c r="F42" t="s">
        <v>343</v>
      </c>
      <c r="G42">
        <v>226.92</v>
      </c>
      <c r="H42" t="s">
        <v>381</v>
      </c>
    </row>
    <row r="43" spans="1:8" x14ac:dyDescent="0.3">
      <c r="A43">
        <v>42</v>
      </c>
      <c r="B43" t="s">
        <v>450</v>
      </c>
      <c r="C43" t="s">
        <v>451</v>
      </c>
      <c r="D43" t="s">
        <v>336</v>
      </c>
      <c r="E43" t="s">
        <v>356</v>
      </c>
      <c r="F43" t="s">
        <v>357</v>
      </c>
      <c r="G43">
        <v>84.7</v>
      </c>
      <c r="H43" t="s">
        <v>386</v>
      </c>
    </row>
    <row r="44" spans="1:8" x14ac:dyDescent="0.3">
      <c r="A44">
        <v>43</v>
      </c>
      <c r="B44" t="s">
        <v>452</v>
      </c>
      <c r="C44" t="s">
        <v>453</v>
      </c>
      <c r="D44" t="s">
        <v>341</v>
      </c>
      <c r="E44" t="s">
        <v>362</v>
      </c>
      <c r="F44" t="s">
        <v>357</v>
      </c>
      <c r="G44">
        <v>880.52</v>
      </c>
      <c r="H44" t="s">
        <v>390</v>
      </c>
    </row>
    <row r="45" spans="1:8" x14ac:dyDescent="0.3">
      <c r="A45">
        <v>44</v>
      </c>
      <c r="B45" t="s">
        <v>454</v>
      </c>
      <c r="C45" t="s">
        <v>455</v>
      </c>
      <c r="D45" t="s">
        <v>346</v>
      </c>
      <c r="E45" t="s">
        <v>366</v>
      </c>
      <c r="F45" t="s">
        <v>357</v>
      </c>
      <c r="G45">
        <v>598.88</v>
      </c>
      <c r="H45" t="s">
        <v>394</v>
      </c>
    </row>
    <row r="46" spans="1:8" x14ac:dyDescent="0.3">
      <c r="A46">
        <v>45</v>
      </c>
      <c r="B46" t="s">
        <v>456</v>
      </c>
      <c r="C46" t="s">
        <v>457</v>
      </c>
      <c r="D46" t="s">
        <v>350</v>
      </c>
      <c r="E46" t="s">
        <v>370</v>
      </c>
      <c r="F46" t="s">
        <v>371</v>
      </c>
      <c r="G46">
        <v>481.99</v>
      </c>
      <c r="H46" t="s">
        <v>399</v>
      </c>
    </row>
    <row r="47" spans="1:8" x14ac:dyDescent="0.3">
      <c r="A47">
        <v>46</v>
      </c>
      <c r="B47" t="s">
        <v>458</v>
      </c>
      <c r="C47" t="s">
        <v>459</v>
      </c>
      <c r="D47" t="s">
        <v>355</v>
      </c>
      <c r="E47" t="s">
        <v>376</v>
      </c>
      <c r="F47" t="s">
        <v>371</v>
      </c>
      <c r="G47">
        <v>837.09</v>
      </c>
      <c r="H47" t="s">
        <v>324</v>
      </c>
    </row>
    <row r="48" spans="1:8" x14ac:dyDescent="0.3">
      <c r="A48">
        <v>47</v>
      </c>
      <c r="B48" t="s">
        <v>460</v>
      </c>
      <c r="C48" t="s">
        <v>461</v>
      </c>
      <c r="D48" t="s">
        <v>361</v>
      </c>
      <c r="E48" t="s">
        <v>380</v>
      </c>
      <c r="F48" t="s">
        <v>371</v>
      </c>
      <c r="G48">
        <v>645.96</v>
      </c>
      <c r="H48" t="s">
        <v>338</v>
      </c>
    </row>
    <row r="49" spans="1:8" x14ac:dyDescent="0.3">
      <c r="A49">
        <v>48</v>
      </c>
      <c r="B49" t="s">
        <v>462</v>
      </c>
      <c r="C49" t="s">
        <v>463</v>
      </c>
      <c r="D49" t="s">
        <v>331</v>
      </c>
      <c r="E49" t="s">
        <v>384</v>
      </c>
      <c r="F49" t="s">
        <v>385</v>
      </c>
      <c r="G49">
        <v>345.48</v>
      </c>
      <c r="H49" t="s">
        <v>333</v>
      </c>
    </row>
    <row r="50" spans="1:8" x14ac:dyDescent="0.3">
      <c r="A50">
        <v>49</v>
      </c>
      <c r="B50" t="s">
        <v>464</v>
      </c>
      <c r="C50" t="s">
        <v>465</v>
      </c>
      <c r="D50" t="s">
        <v>327</v>
      </c>
      <c r="E50" t="s">
        <v>389</v>
      </c>
      <c r="F50" t="s">
        <v>385</v>
      </c>
      <c r="G50">
        <v>234.4</v>
      </c>
      <c r="H50" t="s">
        <v>328</v>
      </c>
    </row>
    <row r="51" spans="1:8" x14ac:dyDescent="0.3">
      <c r="A51">
        <v>50</v>
      </c>
      <c r="B51" t="s">
        <v>466</v>
      </c>
      <c r="C51" t="s">
        <v>467</v>
      </c>
      <c r="D51" t="s">
        <v>375</v>
      </c>
      <c r="E51" t="s">
        <v>393</v>
      </c>
      <c r="F51" t="s">
        <v>385</v>
      </c>
      <c r="G51">
        <v>505.22</v>
      </c>
      <c r="H51" t="s">
        <v>352</v>
      </c>
    </row>
    <row r="52" spans="1:8" x14ac:dyDescent="0.3">
      <c r="A52">
        <v>51</v>
      </c>
      <c r="B52" t="s">
        <v>468</v>
      </c>
      <c r="C52" t="s">
        <v>469</v>
      </c>
      <c r="D52" t="s">
        <v>321</v>
      </c>
      <c r="E52" t="s">
        <v>397</v>
      </c>
      <c r="F52" t="s">
        <v>398</v>
      </c>
      <c r="G52">
        <v>641.44000000000005</v>
      </c>
      <c r="H52" t="s">
        <v>358</v>
      </c>
    </row>
    <row r="53" spans="1:8" x14ac:dyDescent="0.3">
      <c r="A53">
        <v>52</v>
      </c>
      <c r="B53" t="s">
        <v>470</v>
      </c>
      <c r="C53" t="s">
        <v>471</v>
      </c>
      <c r="D53" t="s">
        <v>336</v>
      </c>
      <c r="E53" t="s">
        <v>402</v>
      </c>
      <c r="F53" t="s">
        <v>398</v>
      </c>
      <c r="G53">
        <v>42.8</v>
      </c>
      <c r="H53" t="s">
        <v>363</v>
      </c>
    </row>
    <row r="54" spans="1:8" x14ac:dyDescent="0.3">
      <c r="A54">
        <v>53</v>
      </c>
      <c r="B54" t="s">
        <v>472</v>
      </c>
      <c r="C54" t="s">
        <v>473</v>
      </c>
      <c r="D54" t="s">
        <v>341</v>
      </c>
      <c r="E54" t="s">
        <v>405</v>
      </c>
      <c r="F54" t="s">
        <v>398</v>
      </c>
      <c r="G54">
        <v>261.45</v>
      </c>
      <c r="H54" t="s">
        <v>367</v>
      </c>
    </row>
    <row r="55" spans="1:8" x14ac:dyDescent="0.3">
      <c r="A55">
        <v>54</v>
      </c>
      <c r="B55" t="s">
        <v>474</v>
      </c>
      <c r="C55" t="s">
        <v>475</v>
      </c>
      <c r="D55" t="s">
        <v>346</v>
      </c>
      <c r="E55" t="s">
        <v>332</v>
      </c>
      <c r="F55" t="s">
        <v>323</v>
      </c>
      <c r="G55">
        <v>655.16999999999996</v>
      </c>
      <c r="H55" t="s">
        <v>372</v>
      </c>
    </row>
    <row r="56" spans="1:8" x14ac:dyDescent="0.3">
      <c r="A56">
        <v>55</v>
      </c>
      <c r="B56" t="s">
        <v>476</v>
      </c>
      <c r="C56" t="s">
        <v>477</v>
      </c>
      <c r="D56" t="s">
        <v>350</v>
      </c>
      <c r="E56" t="s">
        <v>322</v>
      </c>
      <c r="F56" t="s">
        <v>323</v>
      </c>
      <c r="G56">
        <v>230.05</v>
      </c>
      <c r="H56" t="s">
        <v>377</v>
      </c>
    </row>
    <row r="57" spans="1:8" x14ac:dyDescent="0.3">
      <c r="A57">
        <v>56</v>
      </c>
      <c r="B57" t="s">
        <v>478</v>
      </c>
      <c r="C57" t="s">
        <v>479</v>
      </c>
      <c r="D57" t="s">
        <v>355</v>
      </c>
      <c r="E57" t="s">
        <v>337</v>
      </c>
      <c r="F57" t="s">
        <v>323</v>
      </c>
      <c r="G57">
        <v>98.48</v>
      </c>
      <c r="H57" t="s">
        <v>381</v>
      </c>
    </row>
    <row r="58" spans="1:8" x14ac:dyDescent="0.3">
      <c r="A58">
        <v>57</v>
      </c>
      <c r="B58" t="s">
        <v>480</v>
      </c>
      <c r="C58" t="s">
        <v>481</v>
      </c>
      <c r="D58" t="s">
        <v>361</v>
      </c>
      <c r="E58" t="s">
        <v>342</v>
      </c>
      <c r="F58" t="s">
        <v>343</v>
      </c>
      <c r="G58">
        <v>378.83</v>
      </c>
      <c r="H58" t="s">
        <v>386</v>
      </c>
    </row>
    <row r="59" spans="1:8" x14ac:dyDescent="0.3">
      <c r="A59">
        <v>58</v>
      </c>
      <c r="B59" t="s">
        <v>482</v>
      </c>
      <c r="C59" t="s">
        <v>483</v>
      </c>
      <c r="D59" t="s">
        <v>331</v>
      </c>
      <c r="E59" t="s">
        <v>347</v>
      </c>
      <c r="F59" t="s">
        <v>343</v>
      </c>
      <c r="G59">
        <v>593.30999999999995</v>
      </c>
      <c r="H59" t="s">
        <v>390</v>
      </c>
    </row>
    <row r="60" spans="1:8" x14ac:dyDescent="0.3">
      <c r="A60">
        <v>59</v>
      </c>
      <c r="B60" t="s">
        <v>484</v>
      </c>
      <c r="C60" t="s">
        <v>485</v>
      </c>
      <c r="D60" t="s">
        <v>327</v>
      </c>
      <c r="E60" t="s">
        <v>351</v>
      </c>
      <c r="F60" t="s">
        <v>343</v>
      </c>
      <c r="G60">
        <v>659.47</v>
      </c>
      <c r="H60" t="s">
        <v>394</v>
      </c>
    </row>
    <row r="61" spans="1:8" x14ac:dyDescent="0.3">
      <c r="A61">
        <v>60</v>
      </c>
      <c r="B61" t="s">
        <v>486</v>
      </c>
      <c r="C61" t="s">
        <v>487</v>
      </c>
      <c r="D61" t="s">
        <v>375</v>
      </c>
      <c r="E61" t="s">
        <v>356</v>
      </c>
      <c r="F61" t="s">
        <v>357</v>
      </c>
      <c r="G61">
        <v>184.56</v>
      </c>
      <c r="H61" t="s">
        <v>399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BD6BF3-C0F9-4324-ABE7-D9B6251D716E}">
  <sheetPr codeName="Sheet8"/>
  <dimension ref="A1:H98"/>
  <sheetViews>
    <sheetView topLeftCell="A76" workbookViewId="0">
      <selection activeCell="H2" sqref="H2"/>
    </sheetView>
  </sheetViews>
  <sheetFormatPr defaultRowHeight="14.4" x14ac:dyDescent="0.3"/>
  <cols>
    <col min="1" max="1" width="9.6640625" bestFit="1" customWidth="1"/>
    <col min="2" max="2" width="10.88671875" bestFit="1" customWidth="1"/>
    <col min="3" max="4" width="10.33203125" bestFit="1" customWidth="1"/>
    <col min="5" max="5" width="11.5546875" bestFit="1" customWidth="1"/>
    <col min="6" max="6" width="11.109375" bestFit="1" customWidth="1"/>
    <col min="7" max="7" width="10.33203125" bestFit="1" customWidth="1"/>
    <col min="8" max="8" width="18.88671875" bestFit="1" customWidth="1"/>
  </cols>
  <sheetData>
    <row r="1" spans="1:8" x14ac:dyDescent="0.3">
      <c r="A1" t="s">
        <v>488</v>
      </c>
      <c r="B1" t="s">
        <v>16</v>
      </c>
      <c r="C1" t="s">
        <v>489</v>
      </c>
      <c r="D1" t="s">
        <v>490</v>
      </c>
      <c r="E1" t="s">
        <v>491</v>
      </c>
      <c r="F1" t="s">
        <v>492</v>
      </c>
      <c r="G1" t="s">
        <v>493</v>
      </c>
      <c r="H1" t="s">
        <v>494</v>
      </c>
    </row>
    <row r="2" spans="1:8" x14ac:dyDescent="0.3">
      <c r="A2" t="s">
        <v>495</v>
      </c>
      <c r="B2">
        <v>1016</v>
      </c>
      <c r="C2" s="1">
        <v>45966.335590277777</v>
      </c>
      <c r="D2" s="1">
        <v>45967</v>
      </c>
      <c r="E2" s="1">
        <v>45969</v>
      </c>
      <c r="F2" s="1">
        <v>45972</v>
      </c>
      <c r="G2" s="1">
        <v>45979</v>
      </c>
      <c r="H2">
        <v>13</v>
      </c>
    </row>
    <row r="3" spans="1:8" x14ac:dyDescent="0.3">
      <c r="A3" t="s">
        <v>496</v>
      </c>
      <c r="B3">
        <v>1016</v>
      </c>
      <c r="C3" s="1">
        <v>45821.541388888887</v>
      </c>
      <c r="D3" s="1">
        <v>45823</v>
      </c>
      <c r="E3" s="1">
        <v>45831</v>
      </c>
      <c r="F3" s="1">
        <v>45832</v>
      </c>
      <c r="G3" s="1">
        <v>45862</v>
      </c>
      <c r="H3">
        <v>41</v>
      </c>
    </row>
    <row r="4" spans="1:8" x14ac:dyDescent="0.3">
      <c r="A4" t="s">
        <v>497</v>
      </c>
      <c r="B4">
        <v>1035</v>
      </c>
      <c r="C4" s="1">
        <v>46004.716585648152</v>
      </c>
      <c r="D4" s="1">
        <v>46008</v>
      </c>
      <c r="E4" s="1">
        <v>46011</v>
      </c>
      <c r="F4" s="1">
        <v>46015</v>
      </c>
      <c r="G4" s="1">
        <v>46023</v>
      </c>
      <c r="H4">
        <v>19</v>
      </c>
    </row>
    <row r="5" spans="1:8" x14ac:dyDescent="0.3">
      <c r="A5" t="s">
        <v>498</v>
      </c>
      <c r="B5">
        <v>1035</v>
      </c>
      <c r="C5" s="1">
        <v>45753.653587962966</v>
      </c>
      <c r="D5" s="1">
        <v>45755</v>
      </c>
      <c r="E5" s="1">
        <v>45765</v>
      </c>
      <c r="F5" s="1">
        <v>45769</v>
      </c>
      <c r="G5" s="1">
        <v>45791</v>
      </c>
      <c r="H5">
        <v>38</v>
      </c>
    </row>
    <row r="6" spans="1:8" x14ac:dyDescent="0.3">
      <c r="A6" t="s">
        <v>499</v>
      </c>
      <c r="B6">
        <v>1007</v>
      </c>
      <c r="C6" s="1">
        <v>45739.529374999998</v>
      </c>
      <c r="D6" s="1">
        <v>45741</v>
      </c>
      <c r="E6" s="1">
        <v>45749</v>
      </c>
      <c r="F6" s="1">
        <v>45750</v>
      </c>
      <c r="G6" s="1">
        <v>45758</v>
      </c>
      <c r="H6">
        <v>19</v>
      </c>
    </row>
    <row r="7" spans="1:8" x14ac:dyDescent="0.3">
      <c r="A7" t="s">
        <v>500</v>
      </c>
      <c r="B7">
        <v>1029</v>
      </c>
      <c r="C7" s="1">
        <v>45701.788865740738</v>
      </c>
      <c r="D7" s="1">
        <v>45704</v>
      </c>
      <c r="E7" s="1">
        <v>45705</v>
      </c>
      <c r="F7" s="1">
        <v>45709</v>
      </c>
      <c r="G7" s="1">
        <v>45735</v>
      </c>
      <c r="H7">
        <v>34</v>
      </c>
    </row>
    <row r="8" spans="1:8" x14ac:dyDescent="0.3">
      <c r="A8" t="s">
        <v>501</v>
      </c>
      <c r="B8">
        <v>1037</v>
      </c>
      <c r="C8" s="1">
        <v>45798.641261574077</v>
      </c>
      <c r="D8" s="1">
        <v>45800</v>
      </c>
      <c r="E8" s="1">
        <v>45802</v>
      </c>
      <c r="F8" s="1">
        <v>45805</v>
      </c>
      <c r="G8" s="1">
        <v>45839</v>
      </c>
      <c r="H8">
        <v>41</v>
      </c>
    </row>
    <row r="9" spans="1:8" x14ac:dyDescent="0.3">
      <c r="A9" t="s">
        <v>502</v>
      </c>
      <c r="B9">
        <v>1015</v>
      </c>
      <c r="C9" s="1">
        <v>45782.451481481483</v>
      </c>
      <c r="D9" s="1">
        <v>45783</v>
      </c>
      <c r="E9" s="1">
        <v>45789</v>
      </c>
      <c r="F9" s="1">
        <v>45791</v>
      </c>
      <c r="G9" s="1">
        <v>45801</v>
      </c>
      <c r="H9">
        <v>19</v>
      </c>
    </row>
    <row r="10" spans="1:8" x14ac:dyDescent="0.3">
      <c r="A10" t="s">
        <v>503</v>
      </c>
      <c r="B10">
        <v>1056</v>
      </c>
      <c r="C10" s="1">
        <v>45997.463784722226</v>
      </c>
      <c r="D10" s="1">
        <v>46001</v>
      </c>
      <c r="E10" s="1">
        <v>46008</v>
      </c>
      <c r="F10" s="1">
        <v>46010</v>
      </c>
      <c r="G10" s="1">
        <v>46025</v>
      </c>
      <c r="H10">
        <v>28</v>
      </c>
    </row>
    <row r="11" spans="1:8" x14ac:dyDescent="0.3">
      <c r="A11" t="s">
        <v>504</v>
      </c>
      <c r="B11">
        <v>1052</v>
      </c>
      <c r="C11" s="1">
        <v>45742.768807870372</v>
      </c>
      <c r="D11" s="1">
        <v>45747</v>
      </c>
      <c r="E11" s="1">
        <v>45752</v>
      </c>
      <c r="F11" s="1">
        <v>45754</v>
      </c>
      <c r="G11" s="1">
        <v>45779</v>
      </c>
      <c r="H11">
        <v>37</v>
      </c>
    </row>
    <row r="12" spans="1:8" x14ac:dyDescent="0.3">
      <c r="A12" t="s">
        <v>505</v>
      </c>
      <c r="B12">
        <v>1030</v>
      </c>
      <c r="C12" s="1">
        <v>45866.526493055557</v>
      </c>
      <c r="D12" s="1">
        <v>45869</v>
      </c>
      <c r="E12" s="1">
        <v>45876</v>
      </c>
      <c r="F12" s="1">
        <v>45880</v>
      </c>
      <c r="G12" s="1">
        <v>45899</v>
      </c>
      <c r="H12">
        <v>33</v>
      </c>
    </row>
    <row r="13" spans="1:8" x14ac:dyDescent="0.3">
      <c r="A13" t="s">
        <v>506</v>
      </c>
      <c r="B13">
        <v>1055</v>
      </c>
      <c r="C13" s="1">
        <v>45733.591631944444</v>
      </c>
      <c r="D13" s="1">
        <v>45736</v>
      </c>
      <c r="E13" s="1">
        <v>45742</v>
      </c>
      <c r="F13" s="1">
        <v>45746</v>
      </c>
      <c r="G13" s="1">
        <v>45758</v>
      </c>
      <c r="H13">
        <v>25</v>
      </c>
    </row>
    <row r="14" spans="1:8" x14ac:dyDescent="0.3">
      <c r="A14" t="s">
        <v>507</v>
      </c>
      <c r="B14">
        <v>1059</v>
      </c>
      <c r="C14" s="1">
        <v>45714.356354166666</v>
      </c>
      <c r="D14" s="1">
        <v>45717</v>
      </c>
      <c r="E14" s="1">
        <v>45721</v>
      </c>
      <c r="F14" s="1">
        <v>45723</v>
      </c>
      <c r="G14" s="1">
        <v>45738</v>
      </c>
      <c r="H14">
        <v>24</v>
      </c>
    </row>
    <row r="15" spans="1:8" x14ac:dyDescent="0.3">
      <c r="A15" t="s">
        <v>508</v>
      </c>
      <c r="B15">
        <v>1055</v>
      </c>
      <c r="C15" s="1">
        <v>45768.54787037037</v>
      </c>
      <c r="D15" s="1">
        <v>45772</v>
      </c>
      <c r="E15" s="1">
        <v>45778</v>
      </c>
      <c r="F15" s="1">
        <v>45779</v>
      </c>
      <c r="G15" s="1">
        <v>45789</v>
      </c>
      <c r="H15">
        <v>21</v>
      </c>
    </row>
    <row r="16" spans="1:8" x14ac:dyDescent="0.3">
      <c r="A16" t="s">
        <v>508</v>
      </c>
      <c r="B16">
        <v>1055</v>
      </c>
      <c r="C16" s="1">
        <v>45768.54787037037</v>
      </c>
      <c r="D16" s="1">
        <v>45773</v>
      </c>
      <c r="E16" s="1">
        <v>45779</v>
      </c>
      <c r="F16" s="1">
        <v>45779</v>
      </c>
      <c r="G16" s="1">
        <v>45789</v>
      </c>
      <c r="H16">
        <v>21</v>
      </c>
    </row>
    <row r="17" spans="1:8" x14ac:dyDescent="0.3">
      <c r="A17" t="s">
        <v>509</v>
      </c>
      <c r="B17">
        <v>1026</v>
      </c>
      <c r="C17" s="1">
        <v>45710.691111111111</v>
      </c>
      <c r="D17" s="1">
        <v>45711</v>
      </c>
      <c r="E17" s="1">
        <v>45718</v>
      </c>
      <c r="F17" s="1">
        <v>45720</v>
      </c>
      <c r="G17" s="1">
        <v>45730</v>
      </c>
      <c r="H17">
        <v>20</v>
      </c>
    </row>
    <row r="18" spans="1:8" x14ac:dyDescent="0.3">
      <c r="A18" t="s">
        <v>510</v>
      </c>
      <c r="B18">
        <v>1024</v>
      </c>
      <c r="C18" s="1">
        <v>46005.641527777778</v>
      </c>
      <c r="D18" s="1">
        <v>46010</v>
      </c>
      <c r="E18" s="1">
        <v>46011</v>
      </c>
      <c r="F18" s="1">
        <v>46013</v>
      </c>
      <c r="G18" s="1">
        <v>46039</v>
      </c>
      <c r="H18">
        <v>34</v>
      </c>
    </row>
    <row r="19" spans="1:8" x14ac:dyDescent="0.3">
      <c r="A19" t="s">
        <v>510</v>
      </c>
      <c r="B19">
        <v>1024</v>
      </c>
      <c r="C19" s="1">
        <v>46005.641527777778</v>
      </c>
      <c r="D19" s="1">
        <v>46011</v>
      </c>
      <c r="E19" s="1">
        <v>46012</v>
      </c>
      <c r="F19" s="1">
        <v>46013</v>
      </c>
      <c r="G19" s="1">
        <v>46039</v>
      </c>
      <c r="H19">
        <v>34</v>
      </c>
    </row>
    <row r="20" spans="1:8" x14ac:dyDescent="0.3">
      <c r="A20" t="s">
        <v>511</v>
      </c>
      <c r="B20">
        <v>1003</v>
      </c>
      <c r="C20" s="1">
        <v>45798.765173611115</v>
      </c>
      <c r="D20" s="1">
        <v>45800</v>
      </c>
      <c r="E20" s="1">
        <v>45810</v>
      </c>
      <c r="F20" s="1">
        <v>45811</v>
      </c>
      <c r="G20" s="1">
        <v>45829</v>
      </c>
      <c r="H20">
        <v>31</v>
      </c>
    </row>
    <row r="21" spans="1:8" x14ac:dyDescent="0.3">
      <c r="A21" t="s">
        <v>511</v>
      </c>
      <c r="B21">
        <v>1003</v>
      </c>
      <c r="C21" s="1">
        <v>45798.765173611115</v>
      </c>
      <c r="D21" s="1">
        <v>45801</v>
      </c>
      <c r="E21" s="1">
        <v>45811</v>
      </c>
      <c r="F21" s="1">
        <v>45811</v>
      </c>
      <c r="G21" s="1">
        <v>45829</v>
      </c>
      <c r="H21">
        <v>31</v>
      </c>
    </row>
    <row r="22" spans="1:8" x14ac:dyDescent="0.3">
      <c r="A22" t="s">
        <v>512</v>
      </c>
      <c r="B22">
        <v>1008</v>
      </c>
      <c r="C22" s="1">
        <v>45853.311342592591</v>
      </c>
      <c r="D22" s="1">
        <v>45855</v>
      </c>
      <c r="E22" s="1">
        <v>45862</v>
      </c>
      <c r="F22" s="1">
        <v>45863</v>
      </c>
      <c r="G22" s="1">
        <v>45891</v>
      </c>
      <c r="H22">
        <v>38</v>
      </c>
    </row>
    <row r="23" spans="1:8" x14ac:dyDescent="0.3">
      <c r="A23" t="s">
        <v>513</v>
      </c>
      <c r="B23">
        <v>1036</v>
      </c>
      <c r="C23" s="1">
        <v>45990.729548611111</v>
      </c>
      <c r="D23" s="1">
        <v>45994</v>
      </c>
      <c r="E23" s="1">
        <v>46003</v>
      </c>
      <c r="F23" s="1">
        <v>46006</v>
      </c>
      <c r="G23" s="1">
        <v>46039</v>
      </c>
      <c r="H23">
        <v>49</v>
      </c>
    </row>
    <row r="24" spans="1:8" x14ac:dyDescent="0.3">
      <c r="A24" t="s">
        <v>514</v>
      </c>
      <c r="B24">
        <v>1035</v>
      </c>
      <c r="C24" s="1">
        <v>46020.742997685185</v>
      </c>
      <c r="D24" s="1">
        <v>46025</v>
      </c>
      <c r="E24" s="1">
        <v>46033</v>
      </c>
      <c r="F24" s="1">
        <v>46035</v>
      </c>
      <c r="G24" s="1">
        <v>46046</v>
      </c>
      <c r="H24">
        <v>26</v>
      </c>
    </row>
    <row r="25" spans="1:8" x14ac:dyDescent="0.3">
      <c r="A25" t="s">
        <v>515</v>
      </c>
      <c r="B25">
        <v>1050</v>
      </c>
      <c r="C25" s="1">
        <v>45953.75953703704</v>
      </c>
      <c r="D25" s="1">
        <v>45957</v>
      </c>
      <c r="E25" s="1">
        <v>45963</v>
      </c>
      <c r="F25" s="1">
        <v>45965</v>
      </c>
      <c r="G25" s="1">
        <v>45984</v>
      </c>
      <c r="H25">
        <v>31</v>
      </c>
    </row>
    <row r="26" spans="1:8" x14ac:dyDescent="0.3">
      <c r="A26" t="s">
        <v>516</v>
      </c>
      <c r="B26">
        <v>1060</v>
      </c>
      <c r="C26" s="1">
        <v>45938.46361111111</v>
      </c>
      <c r="D26" s="1">
        <v>45942</v>
      </c>
      <c r="E26" s="1">
        <v>45948</v>
      </c>
      <c r="F26" s="1">
        <v>45952</v>
      </c>
      <c r="G26" s="1">
        <v>45975</v>
      </c>
      <c r="H26">
        <v>37</v>
      </c>
    </row>
    <row r="27" spans="1:8" x14ac:dyDescent="0.3">
      <c r="A27" t="s">
        <v>517</v>
      </c>
      <c r="B27">
        <v>1019</v>
      </c>
      <c r="C27" s="1">
        <v>45701.489641203705</v>
      </c>
      <c r="D27" s="1">
        <v>45704</v>
      </c>
      <c r="E27" s="1">
        <v>45712</v>
      </c>
      <c r="F27" s="1">
        <v>45715</v>
      </c>
      <c r="G27" s="1">
        <v>45733</v>
      </c>
      <c r="H27">
        <v>32</v>
      </c>
    </row>
    <row r="28" spans="1:8" x14ac:dyDescent="0.3">
      <c r="A28" t="s">
        <v>518</v>
      </c>
      <c r="B28">
        <v>1004</v>
      </c>
      <c r="C28" s="1">
        <v>45749.733495370368</v>
      </c>
      <c r="D28" s="1">
        <v>45751</v>
      </c>
      <c r="E28" s="1">
        <v>45758</v>
      </c>
      <c r="F28" s="1">
        <v>45761</v>
      </c>
      <c r="G28" s="1">
        <v>45772</v>
      </c>
      <c r="H28">
        <v>23</v>
      </c>
    </row>
    <row r="29" spans="1:8" x14ac:dyDescent="0.3">
      <c r="A29" t="s">
        <v>519</v>
      </c>
      <c r="B29">
        <v>1018</v>
      </c>
      <c r="C29" s="1">
        <v>45855.796770833331</v>
      </c>
      <c r="D29" s="1">
        <v>45858</v>
      </c>
      <c r="E29" s="1">
        <v>45861</v>
      </c>
      <c r="F29" s="1">
        <v>45862</v>
      </c>
      <c r="G29" s="1">
        <v>45875</v>
      </c>
      <c r="H29">
        <v>20</v>
      </c>
    </row>
    <row r="30" spans="1:8" x14ac:dyDescent="0.3">
      <c r="A30" t="s">
        <v>519</v>
      </c>
      <c r="B30">
        <v>1018</v>
      </c>
      <c r="C30" s="1">
        <v>45855.796770833331</v>
      </c>
      <c r="D30" s="1">
        <v>45859</v>
      </c>
      <c r="E30" s="1">
        <v>45862</v>
      </c>
      <c r="F30" s="1">
        <v>45862</v>
      </c>
      <c r="G30" s="1">
        <v>45875</v>
      </c>
      <c r="H30">
        <v>20</v>
      </c>
    </row>
    <row r="31" spans="1:8" x14ac:dyDescent="0.3">
      <c r="A31" t="s">
        <v>520</v>
      </c>
      <c r="B31">
        <v>1021</v>
      </c>
      <c r="C31" s="1">
        <v>45912.303055555552</v>
      </c>
      <c r="D31" s="1">
        <v>45915</v>
      </c>
      <c r="E31" s="1">
        <v>45920</v>
      </c>
      <c r="F31" s="1">
        <v>45921</v>
      </c>
      <c r="G31" s="1">
        <v>45948</v>
      </c>
      <c r="H31">
        <v>36</v>
      </c>
    </row>
    <row r="32" spans="1:8" x14ac:dyDescent="0.3">
      <c r="A32" t="s">
        <v>521</v>
      </c>
      <c r="B32">
        <v>1045</v>
      </c>
      <c r="C32" s="1">
        <v>45778.748819444445</v>
      </c>
      <c r="D32" s="1">
        <v>45780</v>
      </c>
      <c r="E32" s="1">
        <v>45783</v>
      </c>
      <c r="F32" s="1">
        <v>45785</v>
      </c>
      <c r="G32" s="1">
        <v>45815</v>
      </c>
      <c r="H32">
        <v>37</v>
      </c>
    </row>
    <row r="33" spans="1:8" x14ac:dyDescent="0.3">
      <c r="A33" t="s">
        <v>518</v>
      </c>
      <c r="B33">
        <v>1004</v>
      </c>
      <c r="C33" s="1">
        <v>45749.733495370368</v>
      </c>
      <c r="D33" s="1">
        <v>45751</v>
      </c>
      <c r="E33" s="1">
        <v>45758</v>
      </c>
      <c r="F33" s="1">
        <v>45761</v>
      </c>
      <c r="G33" s="1">
        <v>45807</v>
      </c>
      <c r="H33">
        <v>58</v>
      </c>
    </row>
    <row r="34" spans="1:8" x14ac:dyDescent="0.3">
      <c r="A34" t="s">
        <v>520</v>
      </c>
      <c r="B34">
        <v>1021</v>
      </c>
      <c r="C34" s="1">
        <v>45912.303055555552</v>
      </c>
      <c r="D34" s="1">
        <v>45915</v>
      </c>
      <c r="E34" s="1">
        <v>45920</v>
      </c>
      <c r="F34" s="1">
        <v>45921</v>
      </c>
      <c r="G34" s="1">
        <v>45963</v>
      </c>
      <c r="H34">
        <v>51</v>
      </c>
    </row>
    <row r="35" spans="1:8" x14ac:dyDescent="0.3">
      <c r="A35" t="s">
        <v>508</v>
      </c>
      <c r="B35">
        <v>1055</v>
      </c>
      <c r="C35" s="1">
        <v>45768.54787037037</v>
      </c>
      <c r="D35" s="1">
        <v>45772</v>
      </c>
      <c r="E35" s="1">
        <v>45778</v>
      </c>
      <c r="F35" s="1">
        <v>45779</v>
      </c>
      <c r="G35" s="1">
        <v>45829</v>
      </c>
      <c r="H35">
        <v>61</v>
      </c>
    </row>
    <row r="36" spans="1:8" x14ac:dyDescent="0.3">
      <c r="A36" t="s">
        <v>508</v>
      </c>
      <c r="B36">
        <v>1055</v>
      </c>
      <c r="C36" s="1">
        <v>45768.54787037037</v>
      </c>
      <c r="D36" s="1">
        <v>45773</v>
      </c>
      <c r="E36" s="1">
        <v>45779</v>
      </c>
      <c r="F36" s="1">
        <v>45779</v>
      </c>
      <c r="G36" s="1">
        <v>45829</v>
      </c>
      <c r="H36">
        <v>61</v>
      </c>
    </row>
    <row r="37" spans="1:8" x14ac:dyDescent="0.3">
      <c r="A37" t="s">
        <v>522</v>
      </c>
      <c r="B37">
        <v>1040</v>
      </c>
      <c r="C37" s="1">
        <v>46019.441967592589</v>
      </c>
      <c r="D37" s="1">
        <v>46024</v>
      </c>
      <c r="E37" s="1">
        <v>46030</v>
      </c>
      <c r="F37" s="1">
        <v>46032</v>
      </c>
      <c r="G37" s="1"/>
    </row>
    <row r="38" spans="1:8" x14ac:dyDescent="0.3">
      <c r="A38" t="s">
        <v>523</v>
      </c>
      <c r="B38">
        <v>1034</v>
      </c>
      <c r="C38" s="1">
        <v>45948.344583333332</v>
      </c>
      <c r="D38" s="1">
        <v>45950</v>
      </c>
      <c r="E38" s="1">
        <v>45955</v>
      </c>
      <c r="F38" s="1">
        <v>45959</v>
      </c>
      <c r="G38" s="1"/>
    </row>
    <row r="39" spans="1:8" x14ac:dyDescent="0.3">
      <c r="A39" t="s">
        <v>524</v>
      </c>
      <c r="B39">
        <v>1009</v>
      </c>
      <c r="C39" s="1">
        <v>45993.680671296293</v>
      </c>
      <c r="D39" s="1">
        <v>45998</v>
      </c>
      <c r="E39" s="1">
        <v>46004</v>
      </c>
      <c r="F39" s="1">
        <v>46008</v>
      </c>
      <c r="G39" s="1"/>
    </row>
    <row r="40" spans="1:8" x14ac:dyDescent="0.3">
      <c r="A40" t="s">
        <v>525</v>
      </c>
      <c r="B40">
        <v>1060</v>
      </c>
      <c r="C40" s="1">
        <v>45695.576747685183</v>
      </c>
      <c r="D40" s="1">
        <v>45696</v>
      </c>
      <c r="E40" s="1">
        <v>45697</v>
      </c>
      <c r="F40" s="1">
        <v>45698</v>
      </c>
      <c r="G40" s="1"/>
    </row>
    <row r="41" spans="1:8" x14ac:dyDescent="0.3">
      <c r="A41" t="s">
        <v>526</v>
      </c>
      <c r="B41">
        <v>1048</v>
      </c>
      <c r="C41" s="1">
        <v>46003.804583333331</v>
      </c>
      <c r="D41" s="1">
        <v>46005</v>
      </c>
      <c r="E41" s="1">
        <v>46015</v>
      </c>
      <c r="F41" s="1">
        <v>46018</v>
      </c>
      <c r="G41" s="1"/>
    </row>
    <row r="42" spans="1:8" x14ac:dyDescent="0.3">
      <c r="A42" t="s">
        <v>527</v>
      </c>
      <c r="B42">
        <v>1021</v>
      </c>
      <c r="C42" s="1">
        <v>45759.778715277775</v>
      </c>
      <c r="D42" s="1">
        <v>45760</v>
      </c>
      <c r="E42" s="1"/>
      <c r="F42" s="1"/>
      <c r="G42" s="1"/>
    </row>
    <row r="43" spans="1:8" x14ac:dyDescent="0.3">
      <c r="A43" t="s">
        <v>528</v>
      </c>
      <c r="B43">
        <v>1058</v>
      </c>
      <c r="C43" s="1">
        <v>45739.302928240744</v>
      </c>
      <c r="D43" s="1">
        <v>45740</v>
      </c>
      <c r="E43" s="1"/>
      <c r="F43" s="1"/>
      <c r="G43" s="1"/>
    </row>
    <row r="44" spans="1:8" x14ac:dyDescent="0.3">
      <c r="A44" t="s">
        <v>529</v>
      </c>
      <c r="B44">
        <v>1048</v>
      </c>
      <c r="C44" s="1">
        <v>45848.606527777774</v>
      </c>
      <c r="D44" s="1">
        <v>45851</v>
      </c>
      <c r="E44" s="1"/>
      <c r="F44" s="1"/>
      <c r="G44" s="1"/>
    </row>
    <row r="45" spans="1:8" x14ac:dyDescent="0.3">
      <c r="A45" t="s">
        <v>530</v>
      </c>
      <c r="B45">
        <v>1044</v>
      </c>
      <c r="C45" s="1">
        <v>45770.56758101852</v>
      </c>
      <c r="D45" s="1">
        <v>45775</v>
      </c>
      <c r="E45" s="1"/>
      <c r="F45" s="1"/>
      <c r="G45" s="1"/>
    </row>
    <row r="46" spans="1:8" x14ac:dyDescent="0.3">
      <c r="A46" t="s">
        <v>531</v>
      </c>
      <c r="B46">
        <v>1038</v>
      </c>
      <c r="C46" s="1">
        <v>45903.419236111113</v>
      </c>
      <c r="D46" s="1">
        <v>45905</v>
      </c>
      <c r="E46" s="1"/>
      <c r="F46" s="1"/>
      <c r="G46" s="1"/>
    </row>
    <row r="47" spans="1:8" x14ac:dyDescent="0.3">
      <c r="A47" t="s">
        <v>532</v>
      </c>
      <c r="B47">
        <v>1016</v>
      </c>
      <c r="C47" s="1">
        <v>45802.335625</v>
      </c>
      <c r="D47" s="1"/>
      <c r="E47" s="1"/>
      <c r="F47" s="1"/>
      <c r="G47" s="1"/>
    </row>
    <row r="48" spans="1:8" x14ac:dyDescent="0.3">
      <c r="A48" t="s">
        <v>533</v>
      </c>
      <c r="B48">
        <v>1016</v>
      </c>
      <c r="C48" s="1">
        <v>45943.638356481482</v>
      </c>
      <c r="D48" s="1"/>
      <c r="E48" s="1"/>
      <c r="F48" s="1"/>
      <c r="G48" s="1"/>
    </row>
    <row r="49" spans="1:8" x14ac:dyDescent="0.3">
      <c r="A49" t="s">
        <v>534</v>
      </c>
      <c r="B49">
        <v>1020</v>
      </c>
      <c r="C49" s="1">
        <v>45821.571898148148</v>
      </c>
      <c r="D49" s="1"/>
      <c r="E49" s="1"/>
      <c r="F49" s="1"/>
      <c r="G49" s="1"/>
    </row>
    <row r="50" spans="1:8" x14ac:dyDescent="0.3">
      <c r="A50" t="s">
        <v>535</v>
      </c>
      <c r="B50">
        <v>1052</v>
      </c>
      <c r="C50" s="1">
        <v>46277.41337962963</v>
      </c>
      <c r="D50" s="1">
        <v>46280</v>
      </c>
      <c r="E50" s="1">
        <v>46289</v>
      </c>
      <c r="F50" s="1">
        <v>46292</v>
      </c>
      <c r="G50" s="1">
        <v>46320</v>
      </c>
      <c r="H50">
        <v>43</v>
      </c>
    </row>
    <row r="51" spans="1:8" x14ac:dyDescent="0.3">
      <c r="A51" t="s">
        <v>536</v>
      </c>
      <c r="B51">
        <v>1004</v>
      </c>
      <c r="C51" s="1">
        <v>46063.641145833331</v>
      </c>
      <c r="D51" s="1">
        <v>46066</v>
      </c>
      <c r="E51" s="1">
        <v>46070</v>
      </c>
      <c r="F51" s="1">
        <v>46074</v>
      </c>
      <c r="G51" s="1">
        <v>46093</v>
      </c>
      <c r="H51">
        <v>30</v>
      </c>
    </row>
    <row r="52" spans="1:8" x14ac:dyDescent="0.3">
      <c r="A52" t="s">
        <v>537</v>
      </c>
      <c r="B52">
        <v>1046</v>
      </c>
      <c r="C52" s="1">
        <v>46186.345891203702</v>
      </c>
      <c r="D52" s="1">
        <v>46190</v>
      </c>
      <c r="E52" s="1">
        <v>46199</v>
      </c>
      <c r="F52" s="1">
        <v>46201</v>
      </c>
      <c r="G52" s="1">
        <v>46228</v>
      </c>
      <c r="H52">
        <v>42</v>
      </c>
    </row>
    <row r="53" spans="1:8" x14ac:dyDescent="0.3">
      <c r="A53" t="s">
        <v>538</v>
      </c>
      <c r="B53">
        <v>1039</v>
      </c>
      <c r="C53" s="1">
        <v>46206.319814814815</v>
      </c>
      <c r="D53" s="1">
        <v>46209</v>
      </c>
      <c r="E53" s="1">
        <v>46216</v>
      </c>
      <c r="F53" s="1">
        <v>46220</v>
      </c>
      <c r="G53" s="1">
        <v>46234</v>
      </c>
      <c r="H53">
        <v>28</v>
      </c>
    </row>
    <row r="54" spans="1:8" x14ac:dyDescent="0.3">
      <c r="A54" t="s">
        <v>539</v>
      </c>
      <c r="B54">
        <v>1059</v>
      </c>
      <c r="C54" s="1">
        <v>46141.786898148152</v>
      </c>
      <c r="D54" s="1">
        <v>46145</v>
      </c>
      <c r="E54" s="1">
        <v>46155</v>
      </c>
      <c r="F54" s="1">
        <v>46158</v>
      </c>
      <c r="G54" s="1">
        <v>46173</v>
      </c>
      <c r="H54">
        <v>32</v>
      </c>
    </row>
    <row r="55" spans="1:8" x14ac:dyDescent="0.3">
      <c r="A55" t="s">
        <v>540</v>
      </c>
      <c r="B55">
        <v>1034</v>
      </c>
      <c r="C55" s="1">
        <v>46215.660092592596</v>
      </c>
      <c r="D55" s="1">
        <v>46219</v>
      </c>
      <c r="E55" s="1">
        <v>46220</v>
      </c>
      <c r="F55" s="1">
        <v>46223</v>
      </c>
      <c r="G55" s="1">
        <v>46229</v>
      </c>
      <c r="H55">
        <v>14</v>
      </c>
    </row>
    <row r="56" spans="1:8" x14ac:dyDescent="0.3">
      <c r="A56" t="s">
        <v>541</v>
      </c>
      <c r="B56">
        <v>1025</v>
      </c>
      <c r="C56" s="1">
        <v>46040.490983796299</v>
      </c>
      <c r="D56" s="1">
        <v>46043</v>
      </c>
      <c r="E56" s="1">
        <v>46047</v>
      </c>
      <c r="F56" s="1">
        <v>46051</v>
      </c>
      <c r="G56" s="1">
        <v>46081</v>
      </c>
      <c r="H56">
        <v>41</v>
      </c>
    </row>
    <row r="57" spans="1:8" x14ac:dyDescent="0.3">
      <c r="A57" t="s">
        <v>542</v>
      </c>
      <c r="B57">
        <v>1025</v>
      </c>
      <c r="C57" s="1">
        <v>46238.318159722221</v>
      </c>
      <c r="D57" s="1">
        <v>46241</v>
      </c>
      <c r="E57" s="1">
        <v>46249</v>
      </c>
      <c r="F57" s="1">
        <v>46253</v>
      </c>
      <c r="G57" s="1">
        <v>46263</v>
      </c>
      <c r="H57">
        <v>25</v>
      </c>
    </row>
    <row r="58" spans="1:8" x14ac:dyDescent="0.3">
      <c r="A58" t="s">
        <v>543</v>
      </c>
      <c r="B58">
        <v>1005</v>
      </c>
      <c r="C58" s="1">
        <v>46126.304305555554</v>
      </c>
      <c r="D58" s="1">
        <v>46127</v>
      </c>
      <c r="E58" s="1">
        <v>46133</v>
      </c>
      <c r="F58" s="1">
        <v>46136</v>
      </c>
      <c r="G58" s="1">
        <v>46141</v>
      </c>
      <c r="H58">
        <v>15</v>
      </c>
    </row>
    <row r="59" spans="1:8" x14ac:dyDescent="0.3">
      <c r="A59" t="s">
        <v>544</v>
      </c>
      <c r="B59">
        <v>1043</v>
      </c>
      <c r="C59" s="1">
        <v>46301.367789351854</v>
      </c>
      <c r="D59" s="1">
        <v>46303</v>
      </c>
      <c r="E59" s="1">
        <v>46304</v>
      </c>
      <c r="F59" s="1">
        <v>46307</v>
      </c>
      <c r="G59" s="1">
        <v>46334</v>
      </c>
      <c r="H59">
        <v>33</v>
      </c>
    </row>
    <row r="60" spans="1:8" x14ac:dyDescent="0.3">
      <c r="A60" t="s">
        <v>545</v>
      </c>
      <c r="B60">
        <v>1005</v>
      </c>
      <c r="C60" s="1">
        <v>46221.638159722221</v>
      </c>
      <c r="D60" s="1">
        <v>46223</v>
      </c>
      <c r="E60" s="1">
        <v>46229</v>
      </c>
      <c r="F60" s="1">
        <v>46233</v>
      </c>
      <c r="G60" s="1">
        <v>46254</v>
      </c>
      <c r="H60">
        <v>33</v>
      </c>
    </row>
    <row r="61" spans="1:8" x14ac:dyDescent="0.3">
      <c r="A61" t="s">
        <v>546</v>
      </c>
      <c r="B61">
        <v>1033</v>
      </c>
      <c r="C61" s="1">
        <v>46065.646018518521</v>
      </c>
      <c r="D61" s="1">
        <v>46068</v>
      </c>
      <c r="E61" s="1">
        <v>46074</v>
      </c>
      <c r="F61" s="1">
        <v>46075</v>
      </c>
      <c r="G61" s="1">
        <v>46107</v>
      </c>
      <c r="H61">
        <v>42</v>
      </c>
    </row>
    <row r="62" spans="1:8" x14ac:dyDescent="0.3">
      <c r="A62" t="s">
        <v>546</v>
      </c>
      <c r="B62">
        <v>1033</v>
      </c>
      <c r="C62" s="1">
        <v>46065.646018518521</v>
      </c>
      <c r="D62" s="1">
        <v>46069</v>
      </c>
      <c r="E62" s="1">
        <v>46075</v>
      </c>
      <c r="F62" s="1">
        <v>46075</v>
      </c>
      <c r="G62" s="1">
        <v>46107</v>
      </c>
      <c r="H62">
        <v>42</v>
      </c>
    </row>
    <row r="63" spans="1:8" x14ac:dyDescent="0.3">
      <c r="A63" t="s">
        <v>547</v>
      </c>
      <c r="B63">
        <v>1037</v>
      </c>
      <c r="C63" s="1">
        <v>46035.619155092594</v>
      </c>
      <c r="D63" s="1">
        <v>46036</v>
      </c>
      <c r="E63" s="1">
        <v>46041</v>
      </c>
      <c r="F63" s="1">
        <v>46044</v>
      </c>
      <c r="G63" s="1">
        <v>46066</v>
      </c>
      <c r="H63">
        <v>31</v>
      </c>
    </row>
    <row r="64" spans="1:8" x14ac:dyDescent="0.3">
      <c r="A64" t="s">
        <v>548</v>
      </c>
      <c r="B64">
        <v>1016</v>
      </c>
      <c r="C64" s="1">
        <v>46073.478518518517</v>
      </c>
      <c r="D64" s="1">
        <v>46077</v>
      </c>
      <c r="E64" s="1">
        <v>46084</v>
      </c>
      <c r="F64" s="1">
        <v>46088</v>
      </c>
      <c r="G64" s="1">
        <v>46123</v>
      </c>
      <c r="H64">
        <v>50</v>
      </c>
    </row>
    <row r="65" spans="1:8" x14ac:dyDescent="0.3">
      <c r="A65" t="s">
        <v>549</v>
      </c>
      <c r="B65">
        <v>1055</v>
      </c>
      <c r="C65" s="1">
        <v>46280.743379629632</v>
      </c>
      <c r="D65" s="1">
        <v>46282</v>
      </c>
      <c r="E65" s="1">
        <v>46288</v>
      </c>
      <c r="F65" s="1">
        <v>46290</v>
      </c>
      <c r="G65" s="1">
        <v>46320</v>
      </c>
      <c r="H65">
        <v>40</v>
      </c>
    </row>
    <row r="66" spans="1:8" x14ac:dyDescent="0.3">
      <c r="A66" t="s">
        <v>549</v>
      </c>
      <c r="B66">
        <v>1055</v>
      </c>
      <c r="C66" s="1">
        <v>46280.743379629632</v>
      </c>
      <c r="D66" s="1">
        <v>46283</v>
      </c>
      <c r="E66" s="1">
        <v>46289</v>
      </c>
      <c r="F66" s="1">
        <v>46290</v>
      </c>
      <c r="G66" s="1">
        <v>46320</v>
      </c>
      <c r="H66">
        <v>40</v>
      </c>
    </row>
    <row r="67" spans="1:8" x14ac:dyDescent="0.3">
      <c r="A67" t="s">
        <v>550</v>
      </c>
      <c r="B67">
        <v>1046</v>
      </c>
      <c r="C67" s="1">
        <v>46114.443958333337</v>
      </c>
      <c r="D67" s="1">
        <v>46116</v>
      </c>
      <c r="E67" s="1">
        <v>46118</v>
      </c>
      <c r="F67" s="1">
        <v>46119</v>
      </c>
      <c r="G67" s="1">
        <v>46147</v>
      </c>
      <c r="H67">
        <v>33</v>
      </c>
    </row>
    <row r="68" spans="1:8" x14ac:dyDescent="0.3">
      <c r="A68" t="s">
        <v>551</v>
      </c>
      <c r="B68">
        <v>1046</v>
      </c>
      <c r="C68" s="1">
        <v>46148.643622685187</v>
      </c>
      <c r="D68" s="1">
        <v>46150</v>
      </c>
      <c r="E68" s="1">
        <v>46156</v>
      </c>
      <c r="F68" s="1">
        <v>46158</v>
      </c>
      <c r="G68" s="1">
        <v>46168</v>
      </c>
      <c r="H68">
        <v>20</v>
      </c>
    </row>
    <row r="69" spans="1:8" x14ac:dyDescent="0.3">
      <c r="A69" t="s">
        <v>552</v>
      </c>
      <c r="B69">
        <v>1049</v>
      </c>
      <c r="C69" s="1">
        <v>46037.649375000001</v>
      </c>
      <c r="D69" s="1">
        <v>46038</v>
      </c>
      <c r="E69" s="1">
        <v>46043</v>
      </c>
      <c r="F69" s="1">
        <v>46047</v>
      </c>
      <c r="G69" s="1">
        <v>46059</v>
      </c>
      <c r="H69">
        <v>22</v>
      </c>
    </row>
    <row r="70" spans="1:8" x14ac:dyDescent="0.3">
      <c r="A70" t="s">
        <v>553</v>
      </c>
      <c r="B70">
        <v>1050</v>
      </c>
      <c r="C70" s="1">
        <v>46248.486956018518</v>
      </c>
      <c r="D70" s="1">
        <v>46253</v>
      </c>
      <c r="E70" s="1">
        <v>46254</v>
      </c>
      <c r="F70" s="1">
        <v>46258</v>
      </c>
      <c r="G70" s="1">
        <v>46276</v>
      </c>
      <c r="H70">
        <v>28</v>
      </c>
    </row>
    <row r="71" spans="1:8" x14ac:dyDescent="0.3">
      <c r="A71" t="s">
        <v>554</v>
      </c>
      <c r="B71">
        <v>1030</v>
      </c>
      <c r="C71" s="1">
        <v>46168.479872685188</v>
      </c>
      <c r="D71" s="1">
        <v>46173</v>
      </c>
      <c r="E71" s="1">
        <v>46181</v>
      </c>
      <c r="F71" s="1">
        <v>46184</v>
      </c>
      <c r="G71" s="1">
        <v>46201</v>
      </c>
      <c r="H71">
        <v>33</v>
      </c>
    </row>
    <row r="72" spans="1:8" x14ac:dyDescent="0.3">
      <c r="A72" t="s">
        <v>555</v>
      </c>
      <c r="B72">
        <v>1014</v>
      </c>
      <c r="C72" s="1">
        <v>46255.502118055556</v>
      </c>
      <c r="D72" s="1">
        <v>46258</v>
      </c>
      <c r="E72" s="1">
        <v>46267</v>
      </c>
      <c r="F72" s="1">
        <v>46268</v>
      </c>
      <c r="G72" s="1">
        <v>46293</v>
      </c>
      <c r="H72">
        <v>38</v>
      </c>
    </row>
    <row r="73" spans="1:8" x14ac:dyDescent="0.3">
      <c r="A73" t="s">
        <v>556</v>
      </c>
      <c r="B73">
        <v>1029</v>
      </c>
      <c r="C73" s="1">
        <v>46221.494895833333</v>
      </c>
      <c r="D73" s="1">
        <v>46223</v>
      </c>
      <c r="E73" s="1">
        <v>46225</v>
      </c>
      <c r="F73" s="1">
        <v>46228</v>
      </c>
      <c r="G73" s="1">
        <v>46253</v>
      </c>
      <c r="H73">
        <v>32</v>
      </c>
    </row>
    <row r="74" spans="1:8" x14ac:dyDescent="0.3">
      <c r="A74" t="s">
        <v>557</v>
      </c>
      <c r="B74">
        <v>1017</v>
      </c>
      <c r="C74" s="1">
        <v>46250.676921296297</v>
      </c>
      <c r="D74" s="1">
        <v>46252</v>
      </c>
      <c r="E74" s="1">
        <v>46261</v>
      </c>
      <c r="F74" s="1">
        <v>46265</v>
      </c>
      <c r="G74" s="1">
        <v>46282</v>
      </c>
      <c r="H74">
        <v>32</v>
      </c>
    </row>
    <row r="75" spans="1:8" x14ac:dyDescent="0.3">
      <c r="A75" t="s">
        <v>558</v>
      </c>
      <c r="B75">
        <v>1047</v>
      </c>
      <c r="C75" s="1">
        <v>46292.828750000001</v>
      </c>
      <c r="D75" s="1">
        <v>46293</v>
      </c>
      <c r="E75" s="1">
        <v>46303</v>
      </c>
      <c r="F75" s="1">
        <v>46304</v>
      </c>
      <c r="G75" s="1">
        <v>46309</v>
      </c>
      <c r="H75">
        <v>17</v>
      </c>
    </row>
    <row r="76" spans="1:8" x14ac:dyDescent="0.3">
      <c r="A76" t="s">
        <v>559</v>
      </c>
      <c r="B76">
        <v>1050</v>
      </c>
      <c r="C76" s="1">
        <v>46284.622152777774</v>
      </c>
      <c r="D76" s="1">
        <v>46286</v>
      </c>
      <c r="E76" s="1">
        <v>46295</v>
      </c>
      <c r="F76" s="1">
        <v>46296</v>
      </c>
      <c r="G76" s="1">
        <v>46320</v>
      </c>
      <c r="H76">
        <v>36</v>
      </c>
    </row>
    <row r="77" spans="1:8" x14ac:dyDescent="0.3">
      <c r="A77" t="s">
        <v>560</v>
      </c>
      <c r="B77">
        <v>1013</v>
      </c>
      <c r="C77" s="1">
        <v>46209.499710648146</v>
      </c>
      <c r="D77" s="1">
        <v>46210</v>
      </c>
      <c r="E77" s="1">
        <v>46220</v>
      </c>
      <c r="F77" s="1">
        <v>46224</v>
      </c>
      <c r="G77" s="1">
        <v>46241</v>
      </c>
      <c r="H77">
        <v>32</v>
      </c>
    </row>
    <row r="78" spans="1:8" x14ac:dyDescent="0.3">
      <c r="A78" t="s">
        <v>561</v>
      </c>
      <c r="B78">
        <v>1007</v>
      </c>
      <c r="C78" s="1">
        <v>46081.531597222223</v>
      </c>
      <c r="D78" s="1">
        <v>46082</v>
      </c>
      <c r="E78" s="1">
        <v>46091</v>
      </c>
      <c r="F78" s="1">
        <v>46095</v>
      </c>
      <c r="G78" s="1">
        <v>46100</v>
      </c>
      <c r="H78">
        <v>19</v>
      </c>
    </row>
    <row r="79" spans="1:8" x14ac:dyDescent="0.3">
      <c r="A79" t="s">
        <v>561</v>
      </c>
      <c r="B79">
        <v>1007</v>
      </c>
      <c r="C79" s="1">
        <v>46081.531597222223</v>
      </c>
      <c r="D79" s="1">
        <v>46083</v>
      </c>
      <c r="E79" s="1">
        <v>46092</v>
      </c>
      <c r="F79" s="1">
        <v>46095</v>
      </c>
      <c r="G79" s="1">
        <v>46100</v>
      </c>
      <c r="H79">
        <v>19</v>
      </c>
    </row>
    <row r="80" spans="1:8" x14ac:dyDescent="0.3">
      <c r="A80" t="s">
        <v>562</v>
      </c>
      <c r="B80">
        <v>1027</v>
      </c>
      <c r="C80" s="1">
        <v>46326.604641203703</v>
      </c>
      <c r="D80" s="1">
        <v>46329</v>
      </c>
      <c r="E80" s="1">
        <v>46334</v>
      </c>
      <c r="F80" s="1">
        <v>46336</v>
      </c>
      <c r="G80" s="1">
        <v>46363</v>
      </c>
      <c r="H80">
        <v>37</v>
      </c>
    </row>
    <row r="81" spans="1:8" x14ac:dyDescent="0.3">
      <c r="A81" t="s">
        <v>563</v>
      </c>
      <c r="B81">
        <v>1037</v>
      </c>
      <c r="C81" s="1">
        <v>46275.374548611115</v>
      </c>
      <c r="D81" s="1">
        <v>46277</v>
      </c>
      <c r="E81" s="1">
        <v>46286</v>
      </c>
      <c r="F81" s="1">
        <v>46290</v>
      </c>
      <c r="G81" s="1">
        <v>46301</v>
      </c>
      <c r="H81">
        <v>26</v>
      </c>
    </row>
    <row r="82" spans="1:8" x14ac:dyDescent="0.3">
      <c r="A82" t="s">
        <v>564</v>
      </c>
      <c r="B82">
        <v>1058</v>
      </c>
      <c r="C82" s="1">
        <v>46073.564120370371</v>
      </c>
      <c r="D82" s="1">
        <v>46075</v>
      </c>
      <c r="E82" s="1">
        <v>46078</v>
      </c>
      <c r="F82" s="1">
        <v>46082</v>
      </c>
      <c r="G82" s="1">
        <v>46111</v>
      </c>
      <c r="H82">
        <v>38</v>
      </c>
    </row>
    <row r="83" spans="1:8" x14ac:dyDescent="0.3">
      <c r="A83" t="s">
        <v>565</v>
      </c>
      <c r="B83">
        <v>1047</v>
      </c>
      <c r="C83" s="1">
        <v>46244.303252314814</v>
      </c>
      <c r="D83" s="1">
        <v>46245</v>
      </c>
      <c r="E83" s="1">
        <v>46247</v>
      </c>
      <c r="F83" s="1">
        <v>46248</v>
      </c>
      <c r="G83" s="1">
        <v>46278</v>
      </c>
      <c r="H83">
        <v>34</v>
      </c>
    </row>
    <row r="84" spans="1:8" x14ac:dyDescent="0.3">
      <c r="A84" t="s">
        <v>565</v>
      </c>
      <c r="B84">
        <v>1047</v>
      </c>
      <c r="C84" s="1">
        <v>46244.303252314814</v>
      </c>
      <c r="D84" s="1">
        <v>46246</v>
      </c>
      <c r="E84" s="1">
        <v>46248</v>
      </c>
      <c r="F84" s="1">
        <v>46248</v>
      </c>
      <c r="G84" s="1">
        <v>46278</v>
      </c>
      <c r="H84">
        <v>34</v>
      </c>
    </row>
    <row r="85" spans="1:8" x14ac:dyDescent="0.3">
      <c r="A85" t="s">
        <v>566</v>
      </c>
      <c r="B85">
        <v>1010</v>
      </c>
      <c r="C85" s="1">
        <v>46123.776655092595</v>
      </c>
      <c r="D85" s="1">
        <v>46128</v>
      </c>
      <c r="E85" s="1">
        <v>46132</v>
      </c>
      <c r="F85" s="1">
        <v>46135</v>
      </c>
      <c r="G85" s="1">
        <v>46142</v>
      </c>
      <c r="H85">
        <v>19</v>
      </c>
    </row>
    <row r="86" spans="1:8" x14ac:dyDescent="0.3">
      <c r="A86" t="s">
        <v>567</v>
      </c>
      <c r="B86">
        <v>1044</v>
      </c>
      <c r="C86" s="1">
        <v>46268.795520833337</v>
      </c>
      <c r="D86" s="1">
        <v>46269</v>
      </c>
      <c r="E86" s="1">
        <v>46279</v>
      </c>
      <c r="F86" s="1">
        <v>46282</v>
      </c>
      <c r="G86" s="1">
        <v>46305</v>
      </c>
      <c r="H86">
        <v>37</v>
      </c>
    </row>
    <row r="87" spans="1:8" x14ac:dyDescent="0.3">
      <c r="A87" t="s">
        <v>540</v>
      </c>
      <c r="B87">
        <v>1034</v>
      </c>
      <c r="C87" s="1">
        <v>46215.660092592596</v>
      </c>
      <c r="D87" s="1">
        <v>46219</v>
      </c>
      <c r="E87" s="1">
        <v>46220</v>
      </c>
      <c r="F87" s="1">
        <v>46223</v>
      </c>
      <c r="G87" s="1">
        <v>46270</v>
      </c>
      <c r="H87">
        <v>55</v>
      </c>
    </row>
    <row r="88" spans="1:8" x14ac:dyDescent="0.3">
      <c r="A88" t="s">
        <v>546</v>
      </c>
      <c r="B88">
        <v>1033</v>
      </c>
      <c r="C88" s="1">
        <v>46065.646018518521</v>
      </c>
      <c r="D88" s="1">
        <v>46068</v>
      </c>
      <c r="E88" s="1">
        <v>46074</v>
      </c>
      <c r="F88" s="1">
        <v>46075</v>
      </c>
      <c r="G88" s="1">
        <v>46114</v>
      </c>
      <c r="H88">
        <v>49</v>
      </c>
    </row>
    <row r="89" spans="1:8" x14ac:dyDescent="0.3">
      <c r="A89" t="s">
        <v>546</v>
      </c>
      <c r="B89">
        <v>1033</v>
      </c>
      <c r="C89" s="1">
        <v>46065.646018518521</v>
      </c>
      <c r="D89" s="1">
        <v>46069</v>
      </c>
      <c r="E89" s="1">
        <v>46075</v>
      </c>
      <c r="F89" s="1">
        <v>46075</v>
      </c>
      <c r="G89" s="1">
        <v>46114</v>
      </c>
      <c r="H89">
        <v>49</v>
      </c>
    </row>
    <row r="90" spans="1:8" x14ac:dyDescent="0.3">
      <c r="A90" t="s">
        <v>568</v>
      </c>
      <c r="B90">
        <v>1005</v>
      </c>
      <c r="C90" s="1">
        <v>46118.613576388889</v>
      </c>
      <c r="D90" s="1">
        <v>46120</v>
      </c>
      <c r="E90" s="1">
        <v>46127</v>
      </c>
      <c r="F90" s="1">
        <v>46130</v>
      </c>
      <c r="G90" s="1"/>
    </row>
    <row r="91" spans="1:8" x14ac:dyDescent="0.3">
      <c r="A91" t="s">
        <v>569</v>
      </c>
      <c r="B91">
        <v>1058</v>
      </c>
      <c r="C91" s="1">
        <v>46277.537488425929</v>
      </c>
      <c r="D91" s="1">
        <v>46278</v>
      </c>
      <c r="E91" s="1">
        <v>46279</v>
      </c>
      <c r="F91" s="1">
        <v>46280</v>
      </c>
      <c r="G91" s="1"/>
    </row>
    <row r="92" spans="1:8" x14ac:dyDescent="0.3">
      <c r="A92" t="s">
        <v>569</v>
      </c>
      <c r="B92">
        <v>1058</v>
      </c>
      <c r="C92" s="1">
        <v>46277.537488425929</v>
      </c>
      <c r="D92" s="1">
        <v>46279</v>
      </c>
      <c r="E92" s="1">
        <v>46280</v>
      </c>
      <c r="F92" s="1">
        <v>46280</v>
      </c>
      <c r="G92" s="1"/>
    </row>
    <row r="93" spans="1:8" x14ac:dyDescent="0.3">
      <c r="A93" t="s">
        <v>570</v>
      </c>
      <c r="B93">
        <v>1054</v>
      </c>
      <c r="C93" s="1">
        <v>46179.647048611114</v>
      </c>
      <c r="D93" s="1">
        <v>46180</v>
      </c>
      <c r="E93" s="1">
        <v>46186</v>
      </c>
      <c r="F93" s="1">
        <v>46189</v>
      </c>
      <c r="G93" s="1"/>
    </row>
    <row r="94" spans="1:8" x14ac:dyDescent="0.3">
      <c r="A94" t="s">
        <v>570</v>
      </c>
      <c r="B94">
        <v>1054</v>
      </c>
      <c r="C94" s="1">
        <v>46179.647048611114</v>
      </c>
      <c r="D94" s="1">
        <v>46181</v>
      </c>
      <c r="E94" s="1">
        <v>46187</v>
      </c>
      <c r="F94" s="1">
        <v>46189</v>
      </c>
      <c r="G94" s="1"/>
    </row>
    <row r="95" spans="1:8" x14ac:dyDescent="0.3">
      <c r="A95" t="s">
        <v>571</v>
      </c>
      <c r="B95">
        <v>1054</v>
      </c>
      <c r="C95" s="1">
        <v>46105.373773148145</v>
      </c>
      <c r="D95" s="1">
        <v>46106</v>
      </c>
      <c r="E95" s="1"/>
      <c r="F95" s="1"/>
      <c r="G95" s="1"/>
    </row>
    <row r="96" spans="1:8" x14ac:dyDescent="0.3">
      <c r="A96" t="s">
        <v>572</v>
      </c>
      <c r="B96">
        <v>1043</v>
      </c>
      <c r="C96" s="1">
        <v>46310.558009259257</v>
      </c>
      <c r="D96" s="1">
        <v>46311</v>
      </c>
      <c r="E96" s="1"/>
      <c r="F96" s="1"/>
      <c r="G96" s="1"/>
    </row>
    <row r="97" spans="1:7" x14ac:dyDescent="0.3">
      <c r="A97" t="s">
        <v>573</v>
      </c>
      <c r="B97">
        <v>1012</v>
      </c>
      <c r="C97" s="1">
        <v>46166.771793981483</v>
      </c>
      <c r="D97" s="1"/>
      <c r="E97" s="1"/>
      <c r="F97" s="1"/>
      <c r="G97" s="1"/>
    </row>
    <row r="98" spans="1:7" x14ac:dyDescent="0.3">
      <c r="A98" t="s">
        <v>574</v>
      </c>
      <c r="B98">
        <v>1057</v>
      </c>
      <c r="C98" s="1">
        <v>46300.637974537036</v>
      </c>
      <c r="D98" s="1"/>
      <c r="E98" s="1"/>
      <c r="F98" s="1"/>
      <c r="G98" s="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B37DC-EB88-4D21-88B5-D621D87FAF27}">
  <sheetPr codeName="Sheet9"/>
  <dimension ref="A1:B21"/>
  <sheetViews>
    <sheetView workbookViewId="0">
      <selection sqref="A1:A1048576"/>
    </sheetView>
  </sheetViews>
  <sheetFormatPr defaultRowHeight="14.4" x14ac:dyDescent="0.3"/>
  <cols>
    <col min="1" max="1" width="10.33203125" style="1" bestFit="1" customWidth="1"/>
    <col min="2" max="2" width="12.88671875" bestFit="1" customWidth="1"/>
  </cols>
  <sheetData>
    <row r="1" spans="1:2" x14ac:dyDescent="0.3">
      <c r="A1" s="1" t="s">
        <v>292</v>
      </c>
      <c r="B1" t="s">
        <v>575</v>
      </c>
    </row>
    <row r="2" spans="1:2" x14ac:dyDescent="0.3">
      <c r="A2" s="1">
        <v>45689</v>
      </c>
      <c r="B2">
        <v>32000</v>
      </c>
    </row>
    <row r="3" spans="1:2" x14ac:dyDescent="0.3">
      <c r="A3" s="1">
        <v>45717</v>
      </c>
      <c r="B3">
        <v>41000</v>
      </c>
    </row>
    <row r="4" spans="1:2" x14ac:dyDescent="0.3">
      <c r="A4" s="1">
        <v>45748</v>
      </c>
      <c r="B4">
        <v>49000</v>
      </c>
    </row>
    <row r="5" spans="1:2" x14ac:dyDescent="0.3">
      <c r="A5" s="1">
        <v>45778</v>
      </c>
      <c r="B5">
        <v>20000</v>
      </c>
    </row>
    <row r="6" spans="1:2" x14ac:dyDescent="0.3">
      <c r="A6" s="1">
        <v>45809</v>
      </c>
      <c r="B6">
        <v>13000</v>
      </c>
    </row>
    <row r="7" spans="1:2" x14ac:dyDescent="0.3">
      <c r="A7" s="1">
        <v>45839</v>
      </c>
      <c r="B7">
        <v>24000</v>
      </c>
    </row>
    <row r="8" spans="1:2" x14ac:dyDescent="0.3">
      <c r="A8" s="1">
        <v>45901</v>
      </c>
      <c r="B8">
        <v>8000</v>
      </c>
    </row>
    <row r="9" spans="1:2" x14ac:dyDescent="0.3">
      <c r="A9" s="1">
        <v>45931</v>
      </c>
      <c r="B9">
        <v>17000</v>
      </c>
    </row>
    <row r="10" spans="1:2" x14ac:dyDescent="0.3">
      <c r="A10" s="1">
        <v>45962</v>
      </c>
      <c r="B10">
        <v>31000</v>
      </c>
    </row>
    <row r="11" spans="1:2" x14ac:dyDescent="0.3">
      <c r="A11" s="1">
        <v>45992</v>
      </c>
      <c r="B11">
        <v>45000</v>
      </c>
    </row>
    <row r="12" spans="1:2" x14ac:dyDescent="0.3">
      <c r="A12" s="1">
        <v>46023</v>
      </c>
      <c r="B12">
        <v>19000</v>
      </c>
    </row>
    <row r="13" spans="1:2" x14ac:dyDescent="0.3">
      <c r="A13" s="1">
        <v>46054</v>
      </c>
      <c r="B13">
        <v>38000</v>
      </c>
    </row>
    <row r="14" spans="1:2" x14ac:dyDescent="0.3">
      <c r="A14" s="1">
        <v>46082</v>
      </c>
      <c r="B14">
        <v>7000</v>
      </c>
    </row>
    <row r="15" spans="1:2" x14ac:dyDescent="0.3">
      <c r="A15" s="1">
        <v>46113</v>
      </c>
      <c r="B15">
        <v>29000</v>
      </c>
    </row>
    <row r="16" spans="1:2" x14ac:dyDescent="0.3">
      <c r="A16" s="1">
        <v>46143</v>
      </c>
      <c r="B16">
        <v>34000</v>
      </c>
    </row>
    <row r="17" spans="1:2" x14ac:dyDescent="0.3">
      <c r="A17" s="1">
        <v>46174</v>
      </c>
      <c r="B17">
        <v>6000</v>
      </c>
    </row>
    <row r="18" spans="1:2" x14ac:dyDescent="0.3">
      <c r="A18" s="1">
        <v>46204</v>
      </c>
      <c r="B18">
        <v>47000</v>
      </c>
    </row>
    <row r="19" spans="1:2" x14ac:dyDescent="0.3">
      <c r="A19" s="1">
        <v>46235</v>
      </c>
      <c r="B19">
        <v>22000</v>
      </c>
    </row>
    <row r="20" spans="1:2" x14ac:dyDescent="0.3">
      <c r="A20" s="1">
        <v>46266</v>
      </c>
      <c r="B20">
        <v>30000</v>
      </c>
    </row>
    <row r="21" spans="1:2" x14ac:dyDescent="0.3">
      <c r="A21" s="1">
        <v>46296</v>
      </c>
      <c r="B21">
        <v>40000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19683-1897-444A-9B56-2624FFBCAA6A}">
  <sheetPr codeName="Sheet10"/>
  <dimension ref="A1:E141"/>
  <sheetViews>
    <sheetView workbookViewId="0">
      <selection activeCell="B1" sqref="B1:B1048576"/>
    </sheetView>
  </sheetViews>
  <sheetFormatPr defaultRowHeight="14.4" x14ac:dyDescent="0.3"/>
  <cols>
    <col min="1" max="1" width="12.33203125" bestFit="1" customWidth="1"/>
    <col min="2" max="2" width="10.33203125" style="1" bestFit="1" customWidth="1"/>
    <col min="3" max="3" width="9.88671875" bestFit="1" customWidth="1"/>
    <col min="4" max="4" width="5.6640625" bestFit="1" customWidth="1"/>
    <col min="5" max="5" width="8" bestFit="1" customWidth="1"/>
  </cols>
  <sheetData>
    <row r="1" spans="1:5" x14ac:dyDescent="0.3">
      <c r="A1" t="s">
        <v>0</v>
      </c>
      <c r="B1" s="1" t="s">
        <v>292</v>
      </c>
      <c r="C1" t="s">
        <v>576</v>
      </c>
      <c r="D1" t="s">
        <v>577</v>
      </c>
      <c r="E1" t="s">
        <v>578</v>
      </c>
    </row>
    <row r="2" spans="1:5" x14ac:dyDescent="0.3">
      <c r="A2">
        <v>1</v>
      </c>
      <c r="B2" s="1">
        <v>45717</v>
      </c>
      <c r="C2">
        <v>68238</v>
      </c>
      <c r="D2">
        <v>737</v>
      </c>
      <c r="E2">
        <v>324.56</v>
      </c>
    </row>
    <row r="3" spans="1:5" x14ac:dyDescent="0.3">
      <c r="A3">
        <v>1</v>
      </c>
      <c r="B3" s="1">
        <v>45718</v>
      </c>
      <c r="C3">
        <v>28707</v>
      </c>
      <c r="D3">
        <v>920</v>
      </c>
      <c r="E3">
        <v>180.75</v>
      </c>
    </row>
    <row r="4" spans="1:5" x14ac:dyDescent="0.3">
      <c r="A4">
        <v>1</v>
      </c>
      <c r="B4" s="1">
        <v>45719</v>
      </c>
      <c r="C4">
        <v>64072</v>
      </c>
      <c r="D4">
        <v>1288</v>
      </c>
      <c r="E4">
        <v>287.27</v>
      </c>
    </row>
    <row r="5" spans="1:5" x14ac:dyDescent="0.3">
      <c r="A5">
        <v>1</v>
      </c>
      <c r="B5" s="1">
        <v>45720</v>
      </c>
      <c r="C5">
        <v>25290</v>
      </c>
      <c r="D5">
        <v>1368</v>
      </c>
      <c r="E5">
        <v>227.39</v>
      </c>
    </row>
    <row r="6" spans="1:5" x14ac:dyDescent="0.3">
      <c r="A6">
        <v>1</v>
      </c>
      <c r="B6" s="1">
        <v>45721</v>
      </c>
      <c r="C6">
        <v>43916</v>
      </c>
      <c r="D6">
        <v>644</v>
      </c>
      <c r="E6">
        <v>236.45</v>
      </c>
    </row>
    <row r="7" spans="1:5" x14ac:dyDescent="0.3">
      <c r="A7">
        <v>1</v>
      </c>
      <c r="B7" s="1">
        <v>45722</v>
      </c>
      <c r="C7">
        <v>18803</v>
      </c>
      <c r="D7">
        <v>537</v>
      </c>
      <c r="E7">
        <v>320.58999999999997</v>
      </c>
    </row>
    <row r="8" spans="1:5" x14ac:dyDescent="0.3">
      <c r="A8">
        <v>1</v>
      </c>
      <c r="B8" s="1">
        <v>45723</v>
      </c>
      <c r="C8">
        <v>29695</v>
      </c>
      <c r="D8">
        <v>373</v>
      </c>
      <c r="E8">
        <v>277.51</v>
      </c>
    </row>
    <row r="9" spans="1:5" x14ac:dyDescent="0.3">
      <c r="A9">
        <v>1</v>
      </c>
      <c r="B9" s="1">
        <v>45724</v>
      </c>
      <c r="C9">
        <v>99677</v>
      </c>
      <c r="D9">
        <v>4760</v>
      </c>
      <c r="E9">
        <v>247.11</v>
      </c>
    </row>
    <row r="10" spans="1:5" x14ac:dyDescent="0.3">
      <c r="A10">
        <v>1</v>
      </c>
      <c r="B10" s="1">
        <v>45725</v>
      </c>
      <c r="C10">
        <v>19953</v>
      </c>
      <c r="D10">
        <v>901</v>
      </c>
      <c r="E10">
        <v>180.81</v>
      </c>
    </row>
    <row r="11" spans="1:5" x14ac:dyDescent="0.3">
      <c r="A11">
        <v>1</v>
      </c>
      <c r="B11" s="1">
        <v>45726</v>
      </c>
      <c r="C11">
        <v>70496</v>
      </c>
      <c r="D11">
        <v>979</v>
      </c>
      <c r="E11">
        <v>272.57</v>
      </c>
    </row>
    <row r="12" spans="1:5" x14ac:dyDescent="0.3">
      <c r="A12">
        <v>1</v>
      </c>
      <c r="B12" s="1">
        <v>45727</v>
      </c>
      <c r="C12">
        <v>76084</v>
      </c>
      <c r="D12">
        <v>3347</v>
      </c>
      <c r="E12">
        <v>182.08</v>
      </c>
    </row>
    <row r="13" spans="1:5" x14ac:dyDescent="0.3">
      <c r="A13">
        <v>1</v>
      </c>
      <c r="B13" s="1">
        <v>45728</v>
      </c>
      <c r="C13">
        <v>99173</v>
      </c>
      <c r="D13">
        <v>2695</v>
      </c>
      <c r="E13">
        <v>199.32</v>
      </c>
    </row>
    <row r="14" spans="1:5" x14ac:dyDescent="0.3">
      <c r="A14">
        <v>1</v>
      </c>
      <c r="B14" s="1">
        <v>45729</v>
      </c>
      <c r="C14">
        <v>63353</v>
      </c>
      <c r="D14">
        <v>2831</v>
      </c>
      <c r="E14">
        <v>254.61</v>
      </c>
    </row>
    <row r="15" spans="1:5" x14ac:dyDescent="0.3">
      <c r="A15">
        <v>1</v>
      </c>
      <c r="B15" s="1">
        <v>45730</v>
      </c>
      <c r="C15">
        <v>38008</v>
      </c>
      <c r="D15">
        <v>1108</v>
      </c>
      <c r="E15">
        <v>293.8</v>
      </c>
    </row>
    <row r="16" spans="1:5" x14ac:dyDescent="0.3">
      <c r="A16">
        <v>1</v>
      </c>
      <c r="B16" s="1">
        <v>45731</v>
      </c>
      <c r="C16">
        <v>21425</v>
      </c>
      <c r="D16">
        <v>324</v>
      </c>
      <c r="E16">
        <v>237.56</v>
      </c>
    </row>
    <row r="17" spans="1:5" x14ac:dyDescent="0.3">
      <c r="A17">
        <v>1</v>
      </c>
      <c r="B17" s="1">
        <v>45732</v>
      </c>
      <c r="C17">
        <v>47223</v>
      </c>
      <c r="D17">
        <v>796</v>
      </c>
      <c r="E17">
        <v>300.41000000000003</v>
      </c>
    </row>
    <row r="18" spans="1:5" x14ac:dyDescent="0.3">
      <c r="A18">
        <v>1</v>
      </c>
      <c r="B18" s="1">
        <v>45733</v>
      </c>
      <c r="C18">
        <v>25451</v>
      </c>
      <c r="D18">
        <v>1070</v>
      </c>
      <c r="E18">
        <v>285.49</v>
      </c>
    </row>
    <row r="19" spans="1:5" x14ac:dyDescent="0.3">
      <c r="A19">
        <v>1</v>
      </c>
      <c r="B19" s="1">
        <v>45734</v>
      </c>
      <c r="C19">
        <v>16966</v>
      </c>
      <c r="D19">
        <v>619</v>
      </c>
      <c r="E19">
        <v>181.96</v>
      </c>
    </row>
    <row r="20" spans="1:5" x14ac:dyDescent="0.3">
      <c r="A20">
        <v>1</v>
      </c>
      <c r="B20" s="1">
        <v>45735</v>
      </c>
      <c r="C20">
        <v>93199</v>
      </c>
      <c r="D20">
        <v>1696</v>
      </c>
      <c r="E20">
        <v>235.02</v>
      </c>
    </row>
    <row r="21" spans="1:5" x14ac:dyDescent="0.3">
      <c r="A21">
        <v>1</v>
      </c>
      <c r="B21" s="1">
        <v>45736</v>
      </c>
      <c r="C21">
        <v>35925</v>
      </c>
      <c r="D21">
        <v>1487</v>
      </c>
      <c r="E21">
        <v>204.08</v>
      </c>
    </row>
    <row r="22" spans="1:5" x14ac:dyDescent="0.3">
      <c r="A22">
        <v>1</v>
      </c>
      <c r="B22" s="1">
        <v>45737</v>
      </c>
      <c r="C22">
        <v>61963</v>
      </c>
      <c r="D22">
        <v>2528</v>
      </c>
      <c r="E22">
        <v>249.14</v>
      </c>
    </row>
    <row r="23" spans="1:5" x14ac:dyDescent="0.3">
      <c r="A23">
        <v>1</v>
      </c>
      <c r="B23" s="1">
        <v>45738</v>
      </c>
      <c r="C23">
        <v>36474</v>
      </c>
      <c r="D23">
        <v>522</v>
      </c>
      <c r="E23">
        <v>196.2</v>
      </c>
    </row>
    <row r="24" spans="1:5" x14ac:dyDescent="0.3">
      <c r="A24">
        <v>1</v>
      </c>
      <c r="B24" s="1">
        <v>45739</v>
      </c>
      <c r="C24">
        <v>24142</v>
      </c>
      <c r="D24">
        <v>953</v>
      </c>
      <c r="E24">
        <v>240.11</v>
      </c>
    </row>
    <row r="25" spans="1:5" x14ac:dyDescent="0.3">
      <c r="A25">
        <v>1</v>
      </c>
      <c r="B25" s="1">
        <v>45740</v>
      </c>
      <c r="C25">
        <v>64280</v>
      </c>
      <c r="D25">
        <v>1653</v>
      </c>
      <c r="E25">
        <v>202.3</v>
      </c>
    </row>
    <row r="26" spans="1:5" x14ac:dyDescent="0.3">
      <c r="A26">
        <v>1</v>
      </c>
      <c r="B26" s="1">
        <v>45741</v>
      </c>
      <c r="C26">
        <v>44302</v>
      </c>
      <c r="D26">
        <v>1870</v>
      </c>
      <c r="E26">
        <v>219.07</v>
      </c>
    </row>
    <row r="27" spans="1:5" x14ac:dyDescent="0.3">
      <c r="A27">
        <v>1</v>
      </c>
      <c r="B27" s="1">
        <v>45742</v>
      </c>
      <c r="C27">
        <v>86774</v>
      </c>
      <c r="D27">
        <v>3470</v>
      </c>
      <c r="E27">
        <v>274.72000000000003</v>
      </c>
    </row>
    <row r="28" spans="1:5" x14ac:dyDescent="0.3">
      <c r="A28">
        <v>1</v>
      </c>
      <c r="B28" s="1">
        <v>45743</v>
      </c>
      <c r="C28">
        <v>98502</v>
      </c>
      <c r="D28">
        <v>1117</v>
      </c>
      <c r="E28">
        <v>311.8</v>
      </c>
    </row>
    <row r="29" spans="1:5" x14ac:dyDescent="0.3">
      <c r="A29">
        <v>1</v>
      </c>
      <c r="B29" s="1">
        <v>45744</v>
      </c>
      <c r="C29">
        <v>47537</v>
      </c>
      <c r="D29">
        <v>963</v>
      </c>
      <c r="E29">
        <v>274.62</v>
      </c>
    </row>
    <row r="30" spans="1:5" x14ac:dyDescent="0.3">
      <c r="A30">
        <v>1</v>
      </c>
      <c r="B30" s="1">
        <v>45745</v>
      </c>
      <c r="C30">
        <v>32726</v>
      </c>
      <c r="D30">
        <v>1550</v>
      </c>
      <c r="E30">
        <v>226.41</v>
      </c>
    </row>
    <row r="31" spans="1:5" x14ac:dyDescent="0.3">
      <c r="A31">
        <v>1</v>
      </c>
      <c r="B31" s="1">
        <v>45746</v>
      </c>
      <c r="C31">
        <v>15152</v>
      </c>
      <c r="D31">
        <v>745</v>
      </c>
      <c r="E31">
        <v>303.55</v>
      </c>
    </row>
    <row r="32" spans="1:5" x14ac:dyDescent="0.3">
      <c r="A32">
        <v>1</v>
      </c>
      <c r="B32" s="1">
        <v>45747</v>
      </c>
      <c r="C32">
        <v>39370</v>
      </c>
      <c r="D32">
        <v>1367</v>
      </c>
      <c r="E32">
        <v>198.1</v>
      </c>
    </row>
    <row r="33" spans="1:5" x14ac:dyDescent="0.3">
      <c r="A33">
        <v>2</v>
      </c>
      <c r="B33" s="1">
        <v>45823</v>
      </c>
      <c r="C33">
        <v>73481</v>
      </c>
      <c r="D33">
        <v>3079</v>
      </c>
      <c r="E33">
        <v>359.33</v>
      </c>
    </row>
    <row r="34" spans="1:5" x14ac:dyDescent="0.3">
      <c r="A34">
        <v>2</v>
      </c>
      <c r="B34" s="1">
        <v>45824</v>
      </c>
      <c r="C34">
        <v>9581</v>
      </c>
      <c r="D34">
        <v>568</v>
      </c>
      <c r="E34">
        <v>609.85</v>
      </c>
    </row>
    <row r="35" spans="1:5" x14ac:dyDescent="0.3">
      <c r="A35">
        <v>2</v>
      </c>
      <c r="B35" s="1">
        <v>45825</v>
      </c>
      <c r="C35">
        <v>25299</v>
      </c>
      <c r="D35">
        <v>742</v>
      </c>
      <c r="E35">
        <v>582.28</v>
      </c>
    </row>
    <row r="36" spans="1:5" x14ac:dyDescent="0.3">
      <c r="A36">
        <v>2</v>
      </c>
      <c r="B36" s="1">
        <v>45826</v>
      </c>
      <c r="C36">
        <v>63163</v>
      </c>
      <c r="D36">
        <v>1785</v>
      </c>
      <c r="E36">
        <v>536.98</v>
      </c>
    </row>
    <row r="37" spans="1:5" x14ac:dyDescent="0.3">
      <c r="A37">
        <v>2</v>
      </c>
      <c r="B37" s="1">
        <v>45827</v>
      </c>
      <c r="C37">
        <v>69736</v>
      </c>
      <c r="D37">
        <v>4025</v>
      </c>
      <c r="E37">
        <v>562.36</v>
      </c>
    </row>
    <row r="38" spans="1:5" x14ac:dyDescent="0.3">
      <c r="A38">
        <v>2</v>
      </c>
      <c r="B38" s="1">
        <v>45828</v>
      </c>
      <c r="C38">
        <v>10187</v>
      </c>
      <c r="D38">
        <v>401</v>
      </c>
      <c r="E38">
        <v>342.71</v>
      </c>
    </row>
    <row r="39" spans="1:5" x14ac:dyDescent="0.3">
      <c r="A39">
        <v>2</v>
      </c>
      <c r="B39" s="1">
        <v>45829</v>
      </c>
      <c r="C39">
        <v>36277</v>
      </c>
      <c r="D39">
        <v>435</v>
      </c>
      <c r="E39">
        <v>356.27</v>
      </c>
    </row>
    <row r="40" spans="1:5" x14ac:dyDescent="0.3">
      <c r="A40">
        <v>2</v>
      </c>
      <c r="B40" s="1">
        <v>45830</v>
      </c>
      <c r="C40">
        <v>60163</v>
      </c>
      <c r="D40">
        <v>2125</v>
      </c>
      <c r="E40">
        <v>521.20000000000005</v>
      </c>
    </row>
    <row r="41" spans="1:5" x14ac:dyDescent="0.3">
      <c r="A41">
        <v>2</v>
      </c>
      <c r="B41" s="1">
        <v>45831</v>
      </c>
      <c r="C41">
        <v>73673</v>
      </c>
      <c r="D41">
        <v>3562</v>
      </c>
      <c r="E41">
        <v>461.68</v>
      </c>
    </row>
    <row r="42" spans="1:5" x14ac:dyDescent="0.3">
      <c r="A42">
        <v>2</v>
      </c>
      <c r="B42" s="1">
        <v>45832</v>
      </c>
      <c r="C42">
        <v>60727</v>
      </c>
      <c r="D42">
        <v>857</v>
      </c>
      <c r="E42">
        <v>494.49</v>
      </c>
    </row>
    <row r="43" spans="1:5" x14ac:dyDescent="0.3">
      <c r="A43">
        <v>2</v>
      </c>
      <c r="B43" s="1">
        <v>45833</v>
      </c>
      <c r="C43">
        <v>88746</v>
      </c>
      <c r="D43">
        <v>1564</v>
      </c>
      <c r="E43">
        <v>362.98</v>
      </c>
    </row>
    <row r="44" spans="1:5" x14ac:dyDescent="0.3">
      <c r="A44">
        <v>2</v>
      </c>
      <c r="B44" s="1">
        <v>45834</v>
      </c>
      <c r="C44">
        <v>18357</v>
      </c>
      <c r="D44">
        <v>652</v>
      </c>
      <c r="E44">
        <v>397.7</v>
      </c>
    </row>
    <row r="45" spans="1:5" x14ac:dyDescent="0.3">
      <c r="A45">
        <v>2</v>
      </c>
      <c r="B45" s="1">
        <v>45835</v>
      </c>
      <c r="C45">
        <v>28365</v>
      </c>
      <c r="D45">
        <v>1044</v>
      </c>
      <c r="E45">
        <v>452.15</v>
      </c>
    </row>
    <row r="46" spans="1:5" x14ac:dyDescent="0.3">
      <c r="A46">
        <v>2</v>
      </c>
      <c r="B46" s="1">
        <v>45836</v>
      </c>
      <c r="C46">
        <v>91138</v>
      </c>
      <c r="D46">
        <v>4389</v>
      </c>
      <c r="E46">
        <v>527.37</v>
      </c>
    </row>
    <row r="47" spans="1:5" x14ac:dyDescent="0.3">
      <c r="A47">
        <v>2</v>
      </c>
      <c r="B47" s="1">
        <v>45837</v>
      </c>
      <c r="C47">
        <v>92299</v>
      </c>
      <c r="D47">
        <v>1228</v>
      </c>
      <c r="E47">
        <v>541.54999999999995</v>
      </c>
    </row>
    <row r="48" spans="1:5" x14ac:dyDescent="0.3">
      <c r="A48">
        <v>2</v>
      </c>
      <c r="B48" s="1">
        <v>45838</v>
      </c>
      <c r="C48">
        <v>39278</v>
      </c>
      <c r="D48">
        <v>506</v>
      </c>
      <c r="E48">
        <v>363.74</v>
      </c>
    </row>
    <row r="49" spans="1:5" x14ac:dyDescent="0.3">
      <c r="A49">
        <v>2</v>
      </c>
      <c r="B49" s="1">
        <v>45839</v>
      </c>
      <c r="C49">
        <v>64948</v>
      </c>
      <c r="D49">
        <v>1026</v>
      </c>
      <c r="E49">
        <v>516.47</v>
      </c>
    </row>
    <row r="50" spans="1:5" x14ac:dyDescent="0.3">
      <c r="A50">
        <v>2</v>
      </c>
      <c r="B50" s="1">
        <v>45840</v>
      </c>
      <c r="C50">
        <v>15212</v>
      </c>
      <c r="D50">
        <v>387</v>
      </c>
      <c r="E50">
        <v>554.04</v>
      </c>
    </row>
    <row r="51" spans="1:5" x14ac:dyDescent="0.3">
      <c r="A51">
        <v>2</v>
      </c>
      <c r="B51" s="1">
        <v>45841</v>
      </c>
      <c r="C51">
        <v>31022</v>
      </c>
      <c r="D51">
        <v>495</v>
      </c>
      <c r="E51">
        <v>544.23</v>
      </c>
    </row>
    <row r="52" spans="1:5" x14ac:dyDescent="0.3">
      <c r="A52">
        <v>2</v>
      </c>
      <c r="B52" s="1">
        <v>45842</v>
      </c>
      <c r="C52">
        <v>99946</v>
      </c>
      <c r="D52">
        <v>1056</v>
      </c>
      <c r="E52">
        <v>482.83</v>
      </c>
    </row>
    <row r="53" spans="1:5" x14ac:dyDescent="0.3">
      <c r="A53">
        <v>2</v>
      </c>
      <c r="B53" s="1">
        <v>45843</v>
      </c>
      <c r="C53">
        <v>53443</v>
      </c>
      <c r="D53">
        <v>1931</v>
      </c>
      <c r="E53">
        <v>566.03</v>
      </c>
    </row>
    <row r="54" spans="1:5" x14ac:dyDescent="0.3">
      <c r="A54">
        <v>2</v>
      </c>
      <c r="B54" s="1">
        <v>45844</v>
      </c>
      <c r="C54">
        <v>41980</v>
      </c>
      <c r="D54">
        <v>770</v>
      </c>
      <c r="E54">
        <v>375.56</v>
      </c>
    </row>
    <row r="55" spans="1:5" x14ac:dyDescent="0.3">
      <c r="A55">
        <v>2</v>
      </c>
      <c r="B55" s="1">
        <v>45845</v>
      </c>
      <c r="C55">
        <v>43227</v>
      </c>
      <c r="D55">
        <v>2016</v>
      </c>
      <c r="E55">
        <v>372.98</v>
      </c>
    </row>
    <row r="56" spans="1:5" x14ac:dyDescent="0.3">
      <c r="A56">
        <v>2</v>
      </c>
      <c r="B56" s="1">
        <v>45846</v>
      </c>
      <c r="C56">
        <v>11847</v>
      </c>
      <c r="D56">
        <v>316</v>
      </c>
      <c r="E56">
        <v>463.35</v>
      </c>
    </row>
    <row r="57" spans="1:5" x14ac:dyDescent="0.3">
      <c r="A57">
        <v>2</v>
      </c>
      <c r="B57" s="1">
        <v>45847</v>
      </c>
      <c r="C57">
        <v>76662</v>
      </c>
      <c r="D57">
        <v>1011</v>
      </c>
      <c r="E57">
        <v>545.51</v>
      </c>
    </row>
    <row r="58" spans="1:5" x14ac:dyDescent="0.3">
      <c r="A58">
        <v>2</v>
      </c>
      <c r="B58" s="1">
        <v>45848</v>
      </c>
      <c r="C58">
        <v>83582</v>
      </c>
      <c r="D58">
        <v>3458</v>
      </c>
      <c r="E58">
        <v>482.75</v>
      </c>
    </row>
    <row r="59" spans="1:5" x14ac:dyDescent="0.3">
      <c r="A59">
        <v>2</v>
      </c>
      <c r="B59" s="1">
        <v>45849</v>
      </c>
      <c r="C59">
        <v>74949</v>
      </c>
      <c r="D59">
        <v>2099</v>
      </c>
      <c r="E59">
        <v>483.76</v>
      </c>
    </row>
    <row r="60" spans="1:5" x14ac:dyDescent="0.3">
      <c r="A60">
        <v>2</v>
      </c>
      <c r="B60" s="1">
        <v>45850</v>
      </c>
      <c r="C60">
        <v>82302</v>
      </c>
      <c r="D60">
        <v>1509</v>
      </c>
      <c r="E60">
        <v>384.38</v>
      </c>
    </row>
    <row r="61" spans="1:5" x14ac:dyDescent="0.3">
      <c r="A61">
        <v>2</v>
      </c>
      <c r="B61" s="1">
        <v>45851</v>
      </c>
      <c r="C61">
        <v>21487</v>
      </c>
      <c r="D61">
        <v>1175</v>
      </c>
      <c r="E61">
        <v>534.41999999999996</v>
      </c>
    </row>
    <row r="62" spans="1:5" x14ac:dyDescent="0.3">
      <c r="A62">
        <v>2</v>
      </c>
      <c r="B62" s="1">
        <v>45852</v>
      </c>
      <c r="C62">
        <v>23117</v>
      </c>
      <c r="D62">
        <v>495</v>
      </c>
      <c r="E62">
        <v>486.43</v>
      </c>
    </row>
    <row r="63" spans="1:5" x14ac:dyDescent="0.3">
      <c r="A63">
        <v>2</v>
      </c>
      <c r="B63" s="1">
        <v>45853</v>
      </c>
      <c r="C63">
        <v>13772</v>
      </c>
      <c r="D63">
        <v>729</v>
      </c>
      <c r="E63">
        <v>342.28</v>
      </c>
    </row>
    <row r="64" spans="1:5" x14ac:dyDescent="0.3">
      <c r="A64">
        <v>3</v>
      </c>
      <c r="B64" s="1">
        <v>45889</v>
      </c>
      <c r="C64">
        <v>14026</v>
      </c>
      <c r="D64">
        <v>471</v>
      </c>
      <c r="E64">
        <v>380.37</v>
      </c>
    </row>
    <row r="65" spans="1:5" x14ac:dyDescent="0.3">
      <c r="A65">
        <v>3</v>
      </c>
      <c r="B65" s="1">
        <v>45890</v>
      </c>
      <c r="C65">
        <v>27671</v>
      </c>
      <c r="D65">
        <v>524</v>
      </c>
      <c r="E65">
        <v>522.08000000000004</v>
      </c>
    </row>
    <row r="66" spans="1:5" x14ac:dyDescent="0.3">
      <c r="A66">
        <v>3</v>
      </c>
      <c r="B66" s="1">
        <v>45891</v>
      </c>
      <c r="C66">
        <v>12635</v>
      </c>
      <c r="D66">
        <v>475</v>
      </c>
      <c r="E66">
        <v>510.7</v>
      </c>
    </row>
    <row r="67" spans="1:5" x14ac:dyDescent="0.3">
      <c r="A67">
        <v>3</v>
      </c>
      <c r="B67" s="1">
        <v>45892</v>
      </c>
      <c r="C67">
        <v>93944</v>
      </c>
      <c r="D67">
        <v>2909</v>
      </c>
      <c r="E67">
        <v>365.35</v>
      </c>
    </row>
    <row r="68" spans="1:5" x14ac:dyDescent="0.3">
      <c r="A68">
        <v>3</v>
      </c>
      <c r="B68" s="1">
        <v>45893</v>
      </c>
      <c r="C68">
        <v>62559</v>
      </c>
      <c r="D68">
        <v>3490</v>
      </c>
      <c r="E68">
        <v>364.89</v>
      </c>
    </row>
    <row r="69" spans="1:5" x14ac:dyDescent="0.3">
      <c r="A69">
        <v>3</v>
      </c>
      <c r="B69" s="1">
        <v>45894</v>
      </c>
      <c r="C69">
        <v>18208</v>
      </c>
      <c r="D69">
        <v>702</v>
      </c>
      <c r="E69">
        <v>315.67</v>
      </c>
    </row>
    <row r="70" spans="1:5" x14ac:dyDescent="0.3">
      <c r="A70">
        <v>3</v>
      </c>
      <c r="B70" s="1">
        <v>45895</v>
      </c>
      <c r="C70">
        <v>96254</v>
      </c>
      <c r="D70">
        <v>5303</v>
      </c>
      <c r="E70">
        <v>330.38</v>
      </c>
    </row>
    <row r="71" spans="1:5" x14ac:dyDescent="0.3">
      <c r="A71">
        <v>3</v>
      </c>
      <c r="B71" s="1">
        <v>45896</v>
      </c>
      <c r="C71">
        <v>75603</v>
      </c>
      <c r="D71">
        <v>4465</v>
      </c>
      <c r="E71">
        <v>520.54999999999995</v>
      </c>
    </row>
    <row r="72" spans="1:5" x14ac:dyDescent="0.3">
      <c r="A72">
        <v>3</v>
      </c>
      <c r="B72" s="1">
        <v>45897</v>
      </c>
      <c r="C72">
        <v>17034</v>
      </c>
      <c r="D72">
        <v>917</v>
      </c>
      <c r="E72">
        <v>498.94</v>
      </c>
    </row>
    <row r="73" spans="1:5" x14ac:dyDescent="0.3">
      <c r="A73">
        <v>3</v>
      </c>
      <c r="B73" s="1">
        <v>45898</v>
      </c>
      <c r="C73">
        <v>48723</v>
      </c>
      <c r="D73">
        <v>1284</v>
      </c>
      <c r="E73">
        <v>422.12</v>
      </c>
    </row>
    <row r="74" spans="1:5" x14ac:dyDescent="0.3">
      <c r="A74">
        <v>3</v>
      </c>
      <c r="B74" s="1">
        <v>45899</v>
      </c>
      <c r="C74">
        <v>9044</v>
      </c>
      <c r="D74">
        <v>257</v>
      </c>
      <c r="E74">
        <v>357.94</v>
      </c>
    </row>
    <row r="75" spans="1:5" x14ac:dyDescent="0.3">
      <c r="A75">
        <v>3</v>
      </c>
      <c r="B75" s="1">
        <v>45900</v>
      </c>
      <c r="C75">
        <v>47834</v>
      </c>
      <c r="D75">
        <v>2247</v>
      </c>
      <c r="E75">
        <v>345.91</v>
      </c>
    </row>
    <row r="76" spans="1:5" x14ac:dyDescent="0.3">
      <c r="A76">
        <v>3</v>
      </c>
      <c r="B76" s="1">
        <v>45901</v>
      </c>
      <c r="C76">
        <v>56270</v>
      </c>
      <c r="D76">
        <v>2227</v>
      </c>
      <c r="E76">
        <v>407.46</v>
      </c>
    </row>
    <row r="77" spans="1:5" x14ac:dyDescent="0.3">
      <c r="A77">
        <v>3</v>
      </c>
      <c r="B77" s="1">
        <v>45902</v>
      </c>
      <c r="C77">
        <v>33614</v>
      </c>
      <c r="D77">
        <v>1567</v>
      </c>
      <c r="E77">
        <v>420.52</v>
      </c>
    </row>
    <row r="78" spans="1:5" x14ac:dyDescent="0.3">
      <c r="A78">
        <v>3</v>
      </c>
      <c r="B78" s="1">
        <v>45903</v>
      </c>
      <c r="C78">
        <v>40129</v>
      </c>
      <c r="D78">
        <v>703</v>
      </c>
      <c r="E78">
        <v>515.22</v>
      </c>
    </row>
    <row r="79" spans="1:5" x14ac:dyDescent="0.3">
      <c r="A79">
        <v>3</v>
      </c>
      <c r="B79" s="1">
        <v>45904</v>
      </c>
      <c r="C79">
        <v>11133</v>
      </c>
      <c r="D79">
        <v>241</v>
      </c>
      <c r="E79">
        <v>371.39</v>
      </c>
    </row>
    <row r="80" spans="1:5" x14ac:dyDescent="0.3">
      <c r="A80">
        <v>3</v>
      </c>
      <c r="B80" s="1">
        <v>45905</v>
      </c>
      <c r="C80">
        <v>98893</v>
      </c>
      <c r="D80">
        <v>5326</v>
      </c>
      <c r="E80">
        <v>519.79</v>
      </c>
    </row>
    <row r="81" spans="1:5" x14ac:dyDescent="0.3">
      <c r="A81">
        <v>3</v>
      </c>
      <c r="B81" s="1">
        <v>45906</v>
      </c>
      <c r="C81">
        <v>8191</v>
      </c>
      <c r="D81">
        <v>392</v>
      </c>
      <c r="E81">
        <v>378.72</v>
      </c>
    </row>
    <row r="82" spans="1:5" x14ac:dyDescent="0.3">
      <c r="A82">
        <v>3</v>
      </c>
      <c r="B82" s="1">
        <v>45907</v>
      </c>
      <c r="C82">
        <v>48306</v>
      </c>
      <c r="D82">
        <v>734</v>
      </c>
      <c r="E82">
        <v>416.41</v>
      </c>
    </row>
    <row r="83" spans="1:5" x14ac:dyDescent="0.3">
      <c r="A83">
        <v>3</v>
      </c>
      <c r="B83" s="1">
        <v>45908</v>
      </c>
      <c r="C83">
        <v>39217</v>
      </c>
      <c r="D83">
        <v>1215</v>
      </c>
      <c r="E83">
        <v>522.29</v>
      </c>
    </row>
    <row r="84" spans="1:5" x14ac:dyDescent="0.3">
      <c r="A84">
        <v>3</v>
      </c>
      <c r="B84" s="1">
        <v>45909</v>
      </c>
      <c r="C84">
        <v>26661</v>
      </c>
      <c r="D84">
        <v>1215</v>
      </c>
      <c r="E84">
        <v>309.2</v>
      </c>
    </row>
    <row r="85" spans="1:5" x14ac:dyDescent="0.3">
      <c r="A85">
        <v>3</v>
      </c>
      <c r="B85" s="1">
        <v>45910</v>
      </c>
      <c r="C85">
        <v>38339</v>
      </c>
      <c r="D85">
        <v>2103</v>
      </c>
      <c r="E85">
        <v>413.94</v>
      </c>
    </row>
    <row r="86" spans="1:5" x14ac:dyDescent="0.3">
      <c r="A86">
        <v>4</v>
      </c>
      <c r="B86" s="1">
        <v>45986</v>
      </c>
      <c r="C86">
        <v>99861</v>
      </c>
      <c r="D86">
        <v>5470</v>
      </c>
      <c r="E86">
        <v>4875.37</v>
      </c>
    </row>
    <row r="87" spans="1:5" x14ac:dyDescent="0.3">
      <c r="A87">
        <v>4</v>
      </c>
      <c r="B87" s="1">
        <v>45987</v>
      </c>
      <c r="C87">
        <v>19128</v>
      </c>
      <c r="D87">
        <v>746</v>
      </c>
      <c r="E87">
        <v>5016.28</v>
      </c>
    </row>
    <row r="88" spans="1:5" x14ac:dyDescent="0.3">
      <c r="A88">
        <v>4</v>
      </c>
      <c r="B88" s="1">
        <v>45988</v>
      </c>
      <c r="C88">
        <v>91521</v>
      </c>
      <c r="D88">
        <v>4667</v>
      </c>
      <c r="E88">
        <v>3724.49</v>
      </c>
    </row>
    <row r="89" spans="1:5" x14ac:dyDescent="0.3">
      <c r="A89">
        <v>4</v>
      </c>
      <c r="B89" s="1">
        <v>45989</v>
      </c>
      <c r="C89">
        <v>82425</v>
      </c>
      <c r="D89">
        <v>1080</v>
      </c>
      <c r="E89">
        <v>5487.33</v>
      </c>
    </row>
    <row r="90" spans="1:5" x14ac:dyDescent="0.3">
      <c r="A90">
        <v>4</v>
      </c>
      <c r="B90" s="1">
        <v>45990</v>
      </c>
      <c r="C90">
        <v>25132</v>
      </c>
      <c r="D90">
        <v>548</v>
      </c>
      <c r="E90">
        <v>4282.97</v>
      </c>
    </row>
    <row r="91" spans="1:5" x14ac:dyDescent="0.3">
      <c r="A91">
        <v>4</v>
      </c>
      <c r="B91" s="1">
        <v>45991</v>
      </c>
      <c r="C91">
        <v>49288</v>
      </c>
      <c r="D91">
        <v>2775</v>
      </c>
      <c r="E91">
        <v>4678.8599999999997</v>
      </c>
    </row>
    <row r="92" spans="1:5" x14ac:dyDescent="0.3">
      <c r="A92">
        <v>5</v>
      </c>
      <c r="B92" s="1">
        <v>46024</v>
      </c>
      <c r="C92">
        <v>50762</v>
      </c>
      <c r="D92">
        <v>1314</v>
      </c>
      <c r="E92">
        <v>318.01</v>
      </c>
    </row>
    <row r="93" spans="1:5" x14ac:dyDescent="0.3">
      <c r="A93">
        <v>5</v>
      </c>
      <c r="B93" s="1">
        <v>46025</v>
      </c>
      <c r="C93">
        <v>17789</v>
      </c>
      <c r="D93">
        <v>1017</v>
      </c>
      <c r="E93">
        <v>287.98</v>
      </c>
    </row>
    <row r="94" spans="1:5" x14ac:dyDescent="0.3">
      <c r="A94">
        <v>5</v>
      </c>
      <c r="B94" s="1">
        <v>46026</v>
      </c>
      <c r="C94">
        <v>84638</v>
      </c>
      <c r="D94">
        <v>1307</v>
      </c>
      <c r="E94">
        <v>281.25</v>
      </c>
    </row>
    <row r="95" spans="1:5" x14ac:dyDescent="0.3">
      <c r="A95">
        <v>5</v>
      </c>
      <c r="B95" s="1">
        <v>46027</v>
      </c>
      <c r="C95">
        <v>66925</v>
      </c>
      <c r="D95">
        <v>2228</v>
      </c>
      <c r="E95">
        <v>347.76</v>
      </c>
    </row>
    <row r="96" spans="1:5" x14ac:dyDescent="0.3">
      <c r="A96">
        <v>5</v>
      </c>
      <c r="B96" s="1">
        <v>46028</v>
      </c>
      <c r="C96">
        <v>78244</v>
      </c>
      <c r="D96">
        <v>2184</v>
      </c>
      <c r="E96">
        <v>428.18</v>
      </c>
    </row>
    <row r="97" spans="1:5" x14ac:dyDescent="0.3">
      <c r="A97">
        <v>5</v>
      </c>
      <c r="B97" s="1">
        <v>46029</v>
      </c>
      <c r="C97">
        <v>67233</v>
      </c>
      <c r="D97">
        <v>1708</v>
      </c>
      <c r="E97">
        <v>316.48</v>
      </c>
    </row>
    <row r="98" spans="1:5" x14ac:dyDescent="0.3">
      <c r="A98">
        <v>5</v>
      </c>
      <c r="B98" s="1">
        <v>46030</v>
      </c>
      <c r="C98">
        <v>23717</v>
      </c>
      <c r="D98">
        <v>344</v>
      </c>
      <c r="E98">
        <v>436.42</v>
      </c>
    </row>
    <row r="99" spans="1:5" x14ac:dyDescent="0.3">
      <c r="A99">
        <v>5</v>
      </c>
      <c r="B99" s="1">
        <v>46031</v>
      </c>
      <c r="C99">
        <v>47874</v>
      </c>
      <c r="D99">
        <v>2456</v>
      </c>
      <c r="E99">
        <v>411.94</v>
      </c>
    </row>
    <row r="100" spans="1:5" x14ac:dyDescent="0.3">
      <c r="A100">
        <v>5</v>
      </c>
      <c r="B100" s="1">
        <v>46032</v>
      </c>
      <c r="C100">
        <v>13286</v>
      </c>
      <c r="D100">
        <v>275</v>
      </c>
      <c r="E100">
        <v>447.24</v>
      </c>
    </row>
    <row r="101" spans="1:5" x14ac:dyDescent="0.3">
      <c r="A101">
        <v>5</v>
      </c>
      <c r="B101" s="1">
        <v>46033</v>
      </c>
      <c r="C101">
        <v>27441</v>
      </c>
      <c r="D101">
        <v>399</v>
      </c>
      <c r="E101">
        <v>312.76</v>
      </c>
    </row>
    <row r="102" spans="1:5" x14ac:dyDescent="0.3">
      <c r="A102">
        <v>5</v>
      </c>
      <c r="B102" s="1">
        <v>46034</v>
      </c>
      <c r="C102">
        <v>54627</v>
      </c>
      <c r="D102">
        <v>1628</v>
      </c>
      <c r="E102">
        <v>268.72000000000003</v>
      </c>
    </row>
    <row r="103" spans="1:5" x14ac:dyDescent="0.3">
      <c r="A103">
        <v>5</v>
      </c>
      <c r="B103" s="1">
        <v>46035</v>
      </c>
      <c r="C103">
        <v>47169</v>
      </c>
      <c r="D103">
        <v>1085</v>
      </c>
      <c r="E103">
        <v>476.89</v>
      </c>
    </row>
    <row r="104" spans="1:5" x14ac:dyDescent="0.3">
      <c r="A104">
        <v>5</v>
      </c>
      <c r="B104" s="1">
        <v>46036</v>
      </c>
      <c r="C104">
        <v>12073</v>
      </c>
      <c r="D104">
        <v>695</v>
      </c>
      <c r="E104">
        <v>446.81</v>
      </c>
    </row>
    <row r="105" spans="1:5" x14ac:dyDescent="0.3">
      <c r="A105">
        <v>5</v>
      </c>
      <c r="B105" s="1">
        <v>46037</v>
      </c>
      <c r="C105">
        <v>80869</v>
      </c>
      <c r="D105">
        <v>3833</v>
      </c>
      <c r="E105">
        <v>313.13</v>
      </c>
    </row>
    <row r="106" spans="1:5" x14ac:dyDescent="0.3">
      <c r="A106">
        <v>5</v>
      </c>
      <c r="B106" s="1">
        <v>46038</v>
      </c>
      <c r="C106">
        <v>68560</v>
      </c>
      <c r="D106">
        <v>1034</v>
      </c>
      <c r="E106">
        <v>433.37</v>
      </c>
    </row>
    <row r="107" spans="1:5" x14ac:dyDescent="0.3">
      <c r="A107">
        <v>5</v>
      </c>
      <c r="B107" s="1">
        <v>46039</v>
      </c>
      <c r="C107">
        <v>23919</v>
      </c>
      <c r="D107">
        <v>253</v>
      </c>
      <c r="E107">
        <v>441.45</v>
      </c>
    </row>
    <row r="108" spans="1:5" x14ac:dyDescent="0.3">
      <c r="A108">
        <v>5</v>
      </c>
      <c r="B108" s="1">
        <v>46040</v>
      </c>
      <c r="C108">
        <v>37135</v>
      </c>
      <c r="D108">
        <v>614</v>
      </c>
      <c r="E108">
        <v>439.97</v>
      </c>
    </row>
    <row r="109" spans="1:5" x14ac:dyDescent="0.3">
      <c r="A109">
        <v>5</v>
      </c>
      <c r="B109" s="1">
        <v>46041</v>
      </c>
      <c r="C109">
        <v>56790</v>
      </c>
      <c r="D109">
        <v>2516</v>
      </c>
      <c r="E109">
        <v>465.15</v>
      </c>
    </row>
    <row r="110" spans="1:5" x14ac:dyDescent="0.3">
      <c r="A110">
        <v>5</v>
      </c>
      <c r="B110" s="1">
        <v>46042</v>
      </c>
      <c r="C110">
        <v>19015</v>
      </c>
      <c r="D110">
        <v>743</v>
      </c>
      <c r="E110">
        <v>315.11</v>
      </c>
    </row>
    <row r="111" spans="1:5" x14ac:dyDescent="0.3">
      <c r="A111">
        <v>6</v>
      </c>
      <c r="B111" s="1">
        <v>46082</v>
      </c>
      <c r="C111">
        <v>17828</v>
      </c>
      <c r="D111">
        <v>197</v>
      </c>
      <c r="E111">
        <v>285.94</v>
      </c>
    </row>
    <row r="112" spans="1:5" x14ac:dyDescent="0.3">
      <c r="A112">
        <v>6</v>
      </c>
      <c r="B112" s="1">
        <v>46083</v>
      </c>
      <c r="C112">
        <v>92670</v>
      </c>
      <c r="D112">
        <v>2981</v>
      </c>
      <c r="E112">
        <v>300.88</v>
      </c>
    </row>
    <row r="113" spans="1:5" x14ac:dyDescent="0.3">
      <c r="A113">
        <v>6</v>
      </c>
      <c r="B113" s="1">
        <v>46084</v>
      </c>
      <c r="C113">
        <v>51456</v>
      </c>
      <c r="D113">
        <v>829</v>
      </c>
      <c r="E113">
        <v>489.82</v>
      </c>
    </row>
    <row r="114" spans="1:5" x14ac:dyDescent="0.3">
      <c r="A114">
        <v>6</v>
      </c>
      <c r="B114" s="1">
        <v>46085</v>
      </c>
      <c r="C114">
        <v>14637</v>
      </c>
      <c r="D114">
        <v>269</v>
      </c>
      <c r="E114">
        <v>404.26</v>
      </c>
    </row>
    <row r="115" spans="1:5" x14ac:dyDescent="0.3">
      <c r="A115">
        <v>6</v>
      </c>
      <c r="B115" s="1">
        <v>46086</v>
      </c>
      <c r="C115">
        <v>59773</v>
      </c>
      <c r="D115">
        <v>2080</v>
      </c>
      <c r="E115">
        <v>359.86</v>
      </c>
    </row>
    <row r="116" spans="1:5" x14ac:dyDescent="0.3">
      <c r="A116">
        <v>6</v>
      </c>
      <c r="B116" s="1">
        <v>46087</v>
      </c>
      <c r="C116">
        <v>63923</v>
      </c>
      <c r="D116">
        <v>1191</v>
      </c>
      <c r="E116">
        <v>320.83999999999997</v>
      </c>
    </row>
    <row r="117" spans="1:5" x14ac:dyDescent="0.3">
      <c r="A117">
        <v>6</v>
      </c>
      <c r="B117" s="1">
        <v>46088</v>
      </c>
      <c r="C117">
        <v>32530</v>
      </c>
      <c r="D117">
        <v>772</v>
      </c>
      <c r="E117">
        <v>374.56</v>
      </c>
    </row>
    <row r="118" spans="1:5" x14ac:dyDescent="0.3">
      <c r="A118">
        <v>6</v>
      </c>
      <c r="B118" s="1">
        <v>46089</v>
      </c>
      <c r="C118">
        <v>27481</v>
      </c>
      <c r="D118">
        <v>322</v>
      </c>
      <c r="E118">
        <v>414.78</v>
      </c>
    </row>
    <row r="119" spans="1:5" x14ac:dyDescent="0.3">
      <c r="A119">
        <v>6</v>
      </c>
      <c r="B119" s="1">
        <v>46090</v>
      </c>
      <c r="C119">
        <v>40215</v>
      </c>
      <c r="D119">
        <v>1703</v>
      </c>
      <c r="E119">
        <v>386.84</v>
      </c>
    </row>
    <row r="120" spans="1:5" x14ac:dyDescent="0.3">
      <c r="A120">
        <v>6</v>
      </c>
      <c r="B120" s="1">
        <v>46091</v>
      </c>
      <c r="C120">
        <v>80179</v>
      </c>
      <c r="D120">
        <v>2722</v>
      </c>
      <c r="E120">
        <v>291.33999999999997</v>
      </c>
    </row>
    <row r="121" spans="1:5" x14ac:dyDescent="0.3">
      <c r="A121">
        <v>6</v>
      </c>
      <c r="B121" s="1">
        <v>46092</v>
      </c>
      <c r="C121">
        <v>58202</v>
      </c>
      <c r="D121">
        <v>981</v>
      </c>
      <c r="E121">
        <v>317.29000000000002</v>
      </c>
    </row>
    <row r="122" spans="1:5" x14ac:dyDescent="0.3">
      <c r="A122">
        <v>6</v>
      </c>
      <c r="B122" s="1">
        <v>46093</v>
      </c>
      <c r="C122">
        <v>76919</v>
      </c>
      <c r="D122">
        <v>1727</v>
      </c>
      <c r="E122">
        <v>501.85</v>
      </c>
    </row>
    <row r="123" spans="1:5" x14ac:dyDescent="0.3">
      <c r="A123">
        <v>6</v>
      </c>
      <c r="B123" s="1">
        <v>46094</v>
      </c>
      <c r="C123">
        <v>79258</v>
      </c>
      <c r="D123">
        <v>3942</v>
      </c>
      <c r="E123">
        <v>500.76</v>
      </c>
    </row>
    <row r="124" spans="1:5" x14ac:dyDescent="0.3">
      <c r="A124">
        <v>6</v>
      </c>
      <c r="B124" s="1">
        <v>46095</v>
      </c>
      <c r="C124">
        <v>55069</v>
      </c>
      <c r="D124">
        <v>1871</v>
      </c>
      <c r="E124">
        <v>452.46</v>
      </c>
    </row>
    <row r="125" spans="1:5" x14ac:dyDescent="0.3">
      <c r="A125">
        <v>6</v>
      </c>
      <c r="B125" s="1">
        <v>46096</v>
      </c>
      <c r="C125">
        <v>53093</v>
      </c>
      <c r="D125">
        <v>2953</v>
      </c>
      <c r="E125">
        <v>387.65</v>
      </c>
    </row>
    <row r="126" spans="1:5" x14ac:dyDescent="0.3">
      <c r="A126">
        <v>6</v>
      </c>
      <c r="B126" s="1">
        <v>46097</v>
      </c>
      <c r="C126">
        <v>58905</v>
      </c>
      <c r="D126">
        <v>1385</v>
      </c>
      <c r="E126">
        <v>277.02</v>
      </c>
    </row>
    <row r="127" spans="1:5" x14ac:dyDescent="0.3">
      <c r="A127">
        <v>6</v>
      </c>
      <c r="B127" s="1">
        <v>46098</v>
      </c>
      <c r="C127">
        <v>86265</v>
      </c>
      <c r="D127">
        <v>1807</v>
      </c>
      <c r="E127">
        <v>479.02</v>
      </c>
    </row>
    <row r="128" spans="1:5" x14ac:dyDescent="0.3">
      <c r="A128">
        <v>6</v>
      </c>
      <c r="B128" s="1">
        <v>46099</v>
      </c>
      <c r="C128">
        <v>44822</v>
      </c>
      <c r="D128">
        <v>579</v>
      </c>
      <c r="E128">
        <v>501.26</v>
      </c>
    </row>
    <row r="129" spans="1:5" x14ac:dyDescent="0.3">
      <c r="A129">
        <v>6</v>
      </c>
      <c r="B129" s="1">
        <v>46100</v>
      </c>
      <c r="C129">
        <v>77393</v>
      </c>
      <c r="D129">
        <v>2157</v>
      </c>
      <c r="E129">
        <v>406.6</v>
      </c>
    </row>
    <row r="130" spans="1:5" x14ac:dyDescent="0.3">
      <c r="A130">
        <v>6</v>
      </c>
      <c r="B130" s="1">
        <v>46101</v>
      </c>
      <c r="C130">
        <v>38508</v>
      </c>
      <c r="D130">
        <v>2260</v>
      </c>
      <c r="E130">
        <v>294.22000000000003</v>
      </c>
    </row>
    <row r="131" spans="1:5" x14ac:dyDescent="0.3">
      <c r="A131">
        <v>6</v>
      </c>
      <c r="B131" s="1">
        <v>46102</v>
      </c>
      <c r="C131">
        <v>94096</v>
      </c>
      <c r="D131">
        <v>2075</v>
      </c>
      <c r="E131">
        <v>394.92</v>
      </c>
    </row>
    <row r="132" spans="1:5" x14ac:dyDescent="0.3">
      <c r="A132">
        <v>6</v>
      </c>
      <c r="B132" s="1">
        <v>46103</v>
      </c>
      <c r="C132">
        <v>15328</v>
      </c>
      <c r="D132">
        <v>738</v>
      </c>
      <c r="E132">
        <v>491.1</v>
      </c>
    </row>
    <row r="133" spans="1:5" x14ac:dyDescent="0.3">
      <c r="A133">
        <v>6</v>
      </c>
      <c r="B133" s="1">
        <v>46104</v>
      </c>
      <c r="C133">
        <v>83457</v>
      </c>
      <c r="D133">
        <v>4366</v>
      </c>
      <c r="E133">
        <v>456.17</v>
      </c>
    </row>
    <row r="134" spans="1:5" x14ac:dyDescent="0.3">
      <c r="A134">
        <v>6</v>
      </c>
      <c r="B134" s="1">
        <v>46105</v>
      </c>
      <c r="C134">
        <v>54504</v>
      </c>
      <c r="D134">
        <v>3093</v>
      </c>
      <c r="E134">
        <v>501.26</v>
      </c>
    </row>
    <row r="135" spans="1:5" x14ac:dyDescent="0.3">
      <c r="A135">
        <v>6</v>
      </c>
      <c r="B135" s="1">
        <v>46106</v>
      </c>
      <c r="C135">
        <v>30768</v>
      </c>
      <c r="D135">
        <v>578</v>
      </c>
      <c r="E135">
        <v>408.59</v>
      </c>
    </row>
    <row r="136" spans="1:5" x14ac:dyDescent="0.3">
      <c r="A136">
        <v>6</v>
      </c>
      <c r="B136" s="1">
        <v>46107</v>
      </c>
      <c r="C136">
        <v>99439</v>
      </c>
      <c r="D136">
        <v>2778</v>
      </c>
      <c r="E136">
        <v>408.36</v>
      </c>
    </row>
    <row r="137" spans="1:5" x14ac:dyDescent="0.3">
      <c r="A137">
        <v>6</v>
      </c>
      <c r="B137" s="1">
        <v>46108</v>
      </c>
      <c r="C137">
        <v>99823</v>
      </c>
      <c r="D137">
        <v>2753</v>
      </c>
      <c r="E137">
        <v>402.81</v>
      </c>
    </row>
    <row r="138" spans="1:5" x14ac:dyDescent="0.3">
      <c r="A138">
        <v>6</v>
      </c>
      <c r="B138" s="1">
        <v>46109</v>
      </c>
      <c r="C138">
        <v>26625</v>
      </c>
      <c r="D138">
        <v>1015</v>
      </c>
      <c r="E138">
        <v>314.69</v>
      </c>
    </row>
    <row r="139" spans="1:5" x14ac:dyDescent="0.3">
      <c r="A139">
        <v>6</v>
      </c>
      <c r="B139" s="1">
        <v>46110</v>
      </c>
      <c r="C139">
        <v>72517</v>
      </c>
      <c r="D139">
        <v>2690</v>
      </c>
      <c r="E139">
        <v>311.74</v>
      </c>
    </row>
    <row r="140" spans="1:5" x14ac:dyDescent="0.3">
      <c r="A140">
        <v>6</v>
      </c>
      <c r="B140" s="1">
        <v>46111</v>
      </c>
      <c r="C140">
        <v>12975</v>
      </c>
      <c r="D140">
        <v>188</v>
      </c>
      <c r="E140">
        <v>325</v>
      </c>
    </row>
    <row r="141" spans="1:5" x14ac:dyDescent="0.3">
      <c r="A141">
        <v>6</v>
      </c>
      <c r="B141" s="1">
        <v>46112</v>
      </c>
      <c r="C141">
        <v>36679</v>
      </c>
      <c r="D141">
        <v>403</v>
      </c>
      <c r="E141">
        <v>381.98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5BE987-A819-4FA5-A3AB-352EC59EF3C3}">
  <sheetPr codeName="Sheet11"/>
  <dimension ref="A1:C289"/>
  <sheetViews>
    <sheetView workbookViewId="0">
      <selection activeCell="B1" sqref="B1:B1048576"/>
    </sheetView>
  </sheetViews>
  <sheetFormatPr defaultRowHeight="14.4" x14ac:dyDescent="0.3"/>
  <cols>
    <col min="1" max="1" width="10.6640625" bestFit="1" customWidth="1"/>
    <col min="2" max="2" width="10.33203125" style="1" bestFit="1" customWidth="1"/>
    <col min="3" max="3" width="4.88671875" bestFit="1" customWidth="1"/>
  </cols>
  <sheetData>
    <row r="1" spans="1:3" x14ac:dyDescent="0.3">
      <c r="A1" t="s">
        <v>311</v>
      </c>
      <c r="B1" s="1" t="s">
        <v>294</v>
      </c>
      <c r="C1" t="s">
        <v>579</v>
      </c>
    </row>
    <row r="2" spans="1:3" x14ac:dyDescent="0.3">
      <c r="A2">
        <v>1</v>
      </c>
      <c r="B2" s="1">
        <v>45658</v>
      </c>
      <c r="C2">
        <v>134</v>
      </c>
    </row>
    <row r="3" spans="1:3" x14ac:dyDescent="0.3">
      <c r="A3">
        <v>1</v>
      </c>
      <c r="B3" s="1">
        <v>45689</v>
      </c>
      <c r="C3">
        <v>343</v>
      </c>
    </row>
    <row r="4" spans="1:3" x14ac:dyDescent="0.3">
      <c r="A4">
        <v>1</v>
      </c>
      <c r="B4" s="1">
        <v>45717</v>
      </c>
      <c r="C4">
        <v>441</v>
      </c>
    </row>
    <row r="5" spans="1:3" x14ac:dyDescent="0.3">
      <c r="A5">
        <v>1</v>
      </c>
      <c r="B5" s="1">
        <v>45748</v>
      </c>
      <c r="C5">
        <v>250</v>
      </c>
    </row>
    <row r="6" spans="1:3" x14ac:dyDescent="0.3">
      <c r="A6">
        <v>1</v>
      </c>
      <c r="B6" s="1">
        <v>45778</v>
      </c>
      <c r="C6">
        <v>270</v>
      </c>
    </row>
    <row r="7" spans="1:3" x14ac:dyDescent="0.3">
      <c r="A7">
        <v>1</v>
      </c>
      <c r="B7" s="1">
        <v>45809</v>
      </c>
      <c r="C7">
        <v>494</v>
      </c>
    </row>
    <row r="8" spans="1:3" x14ac:dyDescent="0.3">
      <c r="A8">
        <v>1</v>
      </c>
      <c r="B8" s="1">
        <v>45839</v>
      </c>
      <c r="C8">
        <v>327</v>
      </c>
    </row>
    <row r="9" spans="1:3" x14ac:dyDescent="0.3">
      <c r="A9">
        <v>1</v>
      </c>
      <c r="B9" s="1">
        <v>45870</v>
      </c>
      <c r="C9">
        <v>160</v>
      </c>
    </row>
    <row r="10" spans="1:3" x14ac:dyDescent="0.3">
      <c r="A10">
        <v>1</v>
      </c>
      <c r="B10" s="1">
        <v>45901</v>
      </c>
      <c r="C10">
        <v>305</v>
      </c>
    </row>
    <row r="11" spans="1:3" x14ac:dyDescent="0.3">
      <c r="A11">
        <v>1</v>
      </c>
      <c r="B11" s="1">
        <v>45931</v>
      </c>
      <c r="C11">
        <v>198</v>
      </c>
    </row>
    <row r="12" spans="1:3" x14ac:dyDescent="0.3">
      <c r="A12">
        <v>1</v>
      </c>
      <c r="B12" s="1">
        <v>45962</v>
      </c>
      <c r="C12">
        <v>312</v>
      </c>
    </row>
    <row r="13" spans="1:3" x14ac:dyDescent="0.3">
      <c r="A13">
        <v>1</v>
      </c>
      <c r="B13" s="1">
        <v>45992</v>
      </c>
      <c r="C13">
        <v>200</v>
      </c>
    </row>
    <row r="14" spans="1:3" x14ac:dyDescent="0.3">
      <c r="A14">
        <v>4</v>
      </c>
      <c r="B14" s="1">
        <v>45658</v>
      </c>
      <c r="C14">
        <v>300</v>
      </c>
    </row>
    <row r="15" spans="1:3" x14ac:dyDescent="0.3">
      <c r="A15">
        <v>4</v>
      </c>
      <c r="B15" s="1">
        <v>45689</v>
      </c>
      <c r="C15">
        <v>58</v>
      </c>
    </row>
    <row r="16" spans="1:3" x14ac:dyDescent="0.3">
      <c r="A16">
        <v>4</v>
      </c>
      <c r="B16" s="1">
        <v>45717</v>
      </c>
      <c r="C16">
        <v>178</v>
      </c>
    </row>
    <row r="17" spans="1:3" x14ac:dyDescent="0.3">
      <c r="A17">
        <v>4</v>
      </c>
      <c r="B17" s="1">
        <v>45748</v>
      </c>
      <c r="C17">
        <v>180</v>
      </c>
    </row>
    <row r="18" spans="1:3" x14ac:dyDescent="0.3">
      <c r="A18">
        <v>4</v>
      </c>
      <c r="B18" s="1">
        <v>45778</v>
      </c>
      <c r="C18">
        <v>432</v>
      </c>
    </row>
    <row r="19" spans="1:3" x14ac:dyDescent="0.3">
      <c r="A19">
        <v>4</v>
      </c>
      <c r="B19" s="1">
        <v>45809</v>
      </c>
      <c r="C19">
        <v>234</v>
      </c>
    </row>
    <row r="20" spans="1:3" x14ac:dyDescent="0.3">
      <c r="A20">
        <v>4</v>
      </c>
      <c r="B20" s="1">
        <v>45839</v>
      </c>
      <c r="C20">
        <v>316</v>
      </c>
    </row>
    <row r="21" spans="1:3" x14ac:dyDescent="0.3">
      <c r="A21">
        <v>4</v>
      </c>
      <c r="B21" s="1">
        <v>45870</v>
      </c>
      <c r="C21">
        <v>88</v>
      </c>
    </row>
    <row r="22" spans="1:3" x14ac:dyDescent="0.3">
      <c r="A22">
        <v>4</v>
      </c>
      <c r="B22" s="1">
        <v>45901</v>
      </c>
      <c r="C22">
        <v>416</v>
      </c>
    </row>
    <row r="23" spans="1:3" x14ac:dyDescent="0.3">
      <c r="A23">
        <v>4</v>
      </c>
      <c r="B23" s="1">
        <v>45931</v>
      </c>
      <c r="C23">
        <v>344</v>
      </c>
    </row>
    <row r="24" spans="1:3" x14ac:dyDescent="0.3">
      <c r="A24">
        <v>4</v>
      </c>
      <c r="B24" s="1">
        <v>45962</v>
      </c>
      <c r="C24">
        <v>361</v>
      </c>
    </row>
    <row r="25" spans="1:3" x14ac:dyDescent="0.3">
      <c r="A25">
        <v>4</v>
      </c>
      <c r="B25" s="1">
        <v>45992</v>
      </c>
      <c r="C25">
        <v>409</v>
      </c>
    </row>
    <row r="26" spans="1:3" x14ac:dyDescent="0.3">
      <c r="A26">
        <v>5</v>
      </c>
      <c r="B26" s="1">
        <v>45658</v>
      </c>
      <c r="C26">
        <v>152</v>
      </c>
    </row>
    <row r="27" spans="1:3" x14ac:dyDescent="0.3">
      <c r="A27">
        <v>5</v>
      </c>
      <c r="B27" s="1">
        <v>45689</v>
      </c>
      <c r="C27">
        <v>470</v>
      </c>
    </row>
    <row r="28" spans="1:3" x14ac:dyDescent="0.3">
      <c r="A28">
        <v>5</v>
      </c>
      <c r="B28" s="1">
        <v>45717</v>
      </c>
      <c r="C28">
        <v>314</v>
      </c>
    </row>
    <row r="29" spans="1:3" x14ac:dyDescent="0.3">
      <c r="A29">
        <v>5</v>
      </c>
      <c r="B29" s="1">
        <v>45748</v>
      </c>
      <c r="C29">
        <v>302</v>
      </c>
    </row>
    <row r="30" spans="1:3" x14ac:dyDescent="0.3">
      <c r="A30">
        <v>5</v>
      </c>
      <c r="B30" s="1">
        <v>45778</v>
      </c>
      <c r="C30">
        <v>43</v>
      </c>
    </row>
    <row r="31" spans="1:3" x14ac:dyDescent="0.3">
      <c r="A31">
        <v>5</v>
      </c>
      <c r="B31" s="1">
        <v>45809</v>
      </c>
      <c r="C31">
        <v>344</v>
      </c>
    </row>
    <row r="32" spans="1:3" x14ac:dyDescent="0.3">
      <c r="A32">
        <v>5</v>
      </c>
      <c r="B32" s="1">
        <v>45839</v>
      </c>
      <c r="C32">
        <v>68</v>
      </c>
    </row>
    <row r="33" spans="1:3" x14ac:dyDescent="0.3">
      <c r="A33">
        <v>5</v>
      </c>
      <c r="B33" s="1">
        <v>45870</v>
      </c>
      <c r="C33">
        <v>160</v>
      </c>
    </row>
    <row r="34" spans="1:3" x14ac:dyDescent="0.3">
      <c r="A34">
        <v>5</v>
      </c>
      <c r="B34" s="1">
        <v>45901</v>
      </c>
      <c r="C34">
        <v>60</v>
      </c>
    </row>
    <row r="35" spans="1:3" x14ac:dyDescent="0.3">
      <c r="A35">
        <v>5</v>
      </c>
      <c r="B35" s="1">
        <v>45931</v>
      </c>
      <c r="C35">
        <v>122</v>
      </c>
    </row>
    <row r="36" spans="1:3" x14ac:dyDescent="0.3">
      <c r="A36">
        <v>5</v>
      </c>
      <c r="B36" s="1">
        <v>45962</v>
      </c>
      <c r="C36">
        <v>156</v>
      </c>
    </row>
    <row r="37" spans="1:3" x14ac:dyDescent="0.3">
      <c r="A37">
        <v>5</v>
      </c>
      <c r="B37" s="1">
        <v>45992</v>
      </c>
      <c r="C37">
        <v>59</v>
      </c>
    </row>
    <row r="38" spans="1:3" x14ac:dyDescent="0.3">
      <c r="A38">
        <v>6</v>
      </c>
      <c r="B38" s="1">
        <v>45658</v>
      </c>
      <c r="C38">
        <v>93</v>
      </c>
    </row>
    <row r="39" spans="1:3" x14ac:dyDescent="0.3">
      <c r="A39">
        <v>6</v>
      </c>
      <c r="B39" s="1">
        <v>45689</v>
      </c>
      <c r="C39">
        <v>191</v>
      </c>
    </row>
    <row r="40" spans="1:3" x14ac:dyDescent="0.3">
      <c r="A40">
        <v>6</v>
      </c>
      <c r="B40" s="1">
        <v>45717</v>
      </c>
      <c r="C40">
        <v>355</v>
      </c>
    </row>
    <row r="41" spans="1:3" x14ac:dyDescent="0.3">
      <c r="A41">
        <v>6</v>
      </c>
      <c r="B41" s="1">
        <v>45748</v>
      </c>
      <c r="C41">
        <v>72</v>
      </c>
    </row>
    <row r="42" spans="1:3" x14ac:dyDescent="0.3">
      <c r="A42">
        <v>6</v>
      </c>
      <c r="B42" s="1">
        <v>45778</v>
      </c>
      <c r="C42">
        <v>261</v>
      </c>
    </row>
    <row r="43" spans="1:3" x14ac:dyDescent="0.3">
      <c r="A43">
        <v>6</v>
      </c>
      <c r="B43" s="1">
        <v>45809</v>
      </c>
      <c r="C43">
        <v>198</v>
      </c>
    </row>
    <row r="44" spans="1:3" x14ac:dyDescent="0.3">
      <c r="A44">
        <v>6</v>
      </c>
      <c r="B44" s="1">
        <v>45839</v>
      </c>
      <c r="C44">
        <v>214</v>
      </c>
    </row>
    <row r="45" spans="1:3" x14ac:dyDescent="0.3">
      <c r="A45">
        <v>6</v>
      </c>
      <c r="B45" s="1">
        <v>45870</v>
      </c>
      <c r="C45">
        <v>305</v>
      </c>
    </row>
    <row r="46" spans="1:3" x14ac:dyDescent="0.3">
      <c r="A46">
        <v>6</v>
      </c>
      <c r="B46" s="1">
        <v>45901</v>
      </c>
      <c r="C46">
        <v>70</v>
      </c>
    </row>
    <row r="47" spans="1:3" x14ac:dyDescent="0.3">
      <c r="A47">
        <v>6</v>
      </c>
      <c r="B47" s="1">
        <v>45931</v>
      </c>
      <c r="C47">
        <v>294</v>
      </c>
    </row>
    <row r="48" spans="1:3" x14ac:dyDescent="0.3">
      <c r="A48">
        <v>6</v>
      </c>
      <c r="B48" s="1">
        <v>45962</v>
      </c>
      <c r="C48">
        <v>196</v>
      </c>
    </row>
    <row r="49" spans="1:3" x14ac:dyDescent="0.3">
      <c r="A49">
        <v>6</v>
      </c>
      <c r="B49" s="1">
        <v>45992</v>
      </c>
      <c r="C49">
        <v>216</v>
      </c>
    </row>
    <row r="50" spans="1:3" x14ac:dyDescent="0.3">
      <c r="A50">
        <v>7</v>
      </c>
      <c r="B50" s="1">
        <v>45658</v>
      </c>
      <c r="C50">
        <v>95</v>
      </c>
    </row>
    <row r="51" spans="1:3" x14ac:dyDescent="0.3">
      <c r="A51">
        <v>7</v>
      </c>
      <c r="B51" s="1">
        <v>45689</v>
      </c>
      <c r="C51">
        <v>249</v>
      </c>
    </row>
    <row r="52" spans="1:3" x14ac:dyDescent="0.3">
      <c r="A52">
        <v>7</v>
      </c>
      <c r="B52" s="1">
        <v>45717</v>
      </c>
      <c r="C52">
        <v>325</v>
      </c>
    </row>
    <row r="53" spans="1:3" x14ac:dyDescent="0.3">
      <c r="A53">
        <v>7</v>
      </c>
      <c r="B53" s="1">
        <v>45748</v>
      </c>
      <c r="C53">
        <v>275</v>
      </c>
    </row>
    <row r="54" spans="1:3" x14ac:dyDescent="0.3">
      <c r="A54">
        <v>7</v>
      </c>
      <c r="B54" s="1">
        <v>45778</v>
      </c>
      <c r="C54">
        <v>355</v>
      </c>
    </row>
    <row r="55" spans="1:3" x14ac:dyDescent="0.3">
      <c r="A55">
        <v>7</v>
      </c>
      <c r="B55" s="1">
        <v>45809</v>
      </c>
      <c r="C55">
        <v>470</v>
      </c>
    </row>
    <row r="56" spans="1:3" x14ac:dyDescent="0.3">
      <c r="A56">
        <v>7</v>
      </c>
      <c r="B56" s="1">
        <v>45839</v>
      </c>
      <c r="C56">
        <v>330</v>
      </c>
    </row>
    <row r="57" spans="1:3" x14ac:dyDescent="0.3">
      <c r="A57">
        <v>7</v>
      </c>
      <c r="B57" s="1">
        <v>45870</v>
      </c>
      <c r="C57">
        <v>476</v>
      </c>
    </row>
    <row r="58" spans="1:3" x14ac:dyDescent="0.3">
      <c r="A58">
        <v>7</v>
      </c>
      <c r="B58" s="1">
        <v>45901</v>
      </c>
      <c r="C58">
        <v>88</v>
      </c>
    </row>
    <row r="59" spans="1:3" x14ac:dyDescent="0.3">
      <c r="A59">
        <v>7</v>
      </c>
      <c r="B59" s="1">
        <v>45931</v>
      </c>
      <c r="C59">
        <v>284</v>
      </c>
    </row>
    <row r="60" spans="1:3" x14ac:dyDescent="0.3">
      <c r="A60">
        <v>7</v>
      </c>
      <c r="B60" s="1">
        <v>45962</v>
      </c>
      <c r="C60">
        <v>85</v>
      </c>
    </row>
    <row r="61" spans="1:3" x14ac:dyDescent="0.3">
      <c r="A61">
        <v>7</v>
      </c>
      <c r="B61" s="1">
        <v>45992</v>
      </c>
      <c r="C61">
        <v>250</v>
      </c>
    </row>
    <row r="62" spans="1:3" x14ac:dyDescent="0.3">
      <c r="A62">
        <v>8</v>
      </c>
      <c r="B62" s="1">
        <v>45658</v>
      </c>
      <c r="C62">
        <v>147</v>
      </c>
    </row>
    <row r="63" spans="1:3" x14ac:dyDescent="0.3">
      <c r="A63">
        <v>8</v>
      </c>
      <c r="B63" s="1">
        <v>45689</v>
      </c>
      <c r="C63">
        <v>71</v>
      </c>
    </row>
    <row r="64" spans="1:3" x14ac:dyDescent="0.3">
      <c r="A64">
        <v>8</v>
      </c>
      <c r="B64" s="1">
        <v>45717</v>
      </c>
      <c r="C64">
        <v>95</v>
      </c>
    </row>
    <row r="65" spans="1:3" x14ac:dyDescent="0.3">
      <c r="A65">
        <v>8</v>
      </c>
      <c r="B65" s="1">
        <v>45748</v>
      </c>
      <c r="C65">
        <v>161</v>
      </c>
    </row>
    <row r="66" spans="1:3" x14ac:dyDescent="0.3">
      <c r="A66">
        <v>8</v>
      </c>
      <c r="B66" s="1">
        <v>45778</v>
      </c>
      <c r="C66">
        <v>431</v>
      </c>
    </row>
    <row r="67" spans="1:3" x14ac:dyDescent="0.3">
      <c r="A67">
        <v>8</v>
      </c>
      <c r="B67" s="1">
        <v>45809</v>
      </c>
      <c r="C67">
        <v>230</v>
      </c>
    </row>
    <row r="68" spans="1:3" x14ac:dyDescent="0.3">
      <c r="A68">
        <v>8</v>
      </c>
      <c r="B68" s="1">
        <v>45839</v>
      </c>
      <c r="C68">
        <v>317</v>
      </c>
    </row>
    <row r="69" spans="1:3" x14ac:dyDescent="0.3">
      <c r="A69">
        <v>8</v>
      </c>
      <c r="B69" s="1">
        <v>45870</v>
      </c>
      <c r="C69">
        <v>27</v>
      </c>
    </row>
    <row r="70" spans="1:3" x14ac:dyDescent="0.3">
      <c r="A70">
        <v>8</v>
      </c>
      <c r="B70" s="1">
        <v>45901</v>
      </c>
      <c r="C70">
        <v>443</v>
      </c>
    </row>
    <row r="71" spans="1:3" x14ac:dyDescent="0.3">
      <c r="A71">
        <v>8</v>
      </c>
      <c r="B71" s="1">
        <v>45931</v>
      </c>
      <c r="C71">
        <v>183</v>
      </c>
    </row>
    <row r="72" spans="1:3" x14ac:dyDescent="0.3">
      <c r="A72">
        <v>8</v>
      </c>
      <c r="B72" s="1">
        <v>45962</v>
      </c>
      <c r="C72">
        <v>487</v>
      </c>
    </row>
    <row r="73" spans="1:3" x14ac:dyDescent="0.3">
      <c r="A73">
        <v>8</v>
      </c>
      <c r="B73" s="1">
        <v>45992</v>
      </c>
      <c r="C73">
        <v>4</v>
      </c>
    </row>
    <row r="74" spans="1:3" x14ac:dyDescent="0.3">
      <c r="A74">
        <v>9</v>
      </c>
      <c r="B74" s="1">
        <v>45658</v>
      </c>
      <c r="C74">
        <v>248</v>
      </c>
    </row>
    <row r="75" spans="1:3" x14ac:dyDescent="0.3">
      <c r="A75">
        <v>9</v>
      </c>
      <c r="B75" s="1">
        <v>45689</v>
      </c>
      <c r="C75">
        <v>69</v>
      </c>
    </row>
    <row r="76" spans="1:3" x14ac:dyDescent="0.3">
      <c r="A76">
        <v>9</v>
      </c>
      <c r="B76" s="1">
        <v>45717</v>
      </c>
      <c r="C76">
        <v>99</v>
      </c>
    </row>
    <row r="77" spans="1:3" x14ac:dyDescent="0.3">
      <c r="A77">
        <v>9</v>
      </c>
      <c r="B77" s="1">
        <v>45748</v>
      </c>
      <c r="C77">
        <v>417</v>
      </c>
    </row>
    <row r="78" spans="1:3" x14ac:dyDescent="0.3">
      <c r="A78">
        <v>9</v>
      </c>
      <c r="B78" s="1">
        <v>45778</v>
      </c>
      <c r="C78">
        <v>196</v>
      </c>
    </row>
    <row r="79" spans="1:3" x14ac:dyDescent="0.3">
      <c r="A79">
        <v>9</v>
      </c>
      <c r="B79" s="1">
        <v>45809</v>
      </c>
      <c r="C79">
        <v>493</v>
      </c>
    </row>
    <row r="80" spans="1:3" x14ac:dyDescent="0.3">
      <c r="A80">
        <v>9</v>
      </c>
      <c r="B80" s="1">
        <v>45839</v>
      </c>
      <c r="C80">
        <v>287</v>
      </c>
    </row>
    <row r="81" spans="1:3" x14ac:dyDescent="0.3">
      <c r="A81">
        <v>9</v>
      </c>
      <c r="B81" s="1">
        <v>45870</v>
      </c>
      <c r="C81">
        <v>258</v>
      </c>
    </row>
    <row r="82" spans="1:3" x14ac:dyDescent="0.3">
      <c r="A82">
        <v>9</v>
      </c>
      <c r="B82" s="1">
        <v>45901</v>
      </c>
      <c r="C82">
        <v>334</v>
      </c>
    </row>
    <row r="83" spans="1:3" x14ac:dyDescent="0.3">
      <c r="A83">
        <v>9</v>
      </c>
      <c r="B83" s="1">
        <v>45931</v>
      </c>
      <c r="C83">
        <v>253</v>
      </c>
    </row>
    <row r="84" spans="1:3" x14ac:dyDescent="0.3">
      <c r="A84">
        <v>9</v>
      </c>
      <c r="B84" s="1">
        <v>45962</v>
      </c>
      <c r="C84">
        <v>209</v>
      </c>
    </row>
    <row r="85" spans="1:3" x14ac:dyDescent="0.3">
      <c r="A85">
        <v>9</v>
      </c>
      <c r="B85" s="1">
        <v>45992</v>
      </c>
      <c r="C85">
        <v>350</v>
      </c>
    </row>
    <row r="86" spans="1:3" x14ac:dyDescent="0.3">
      <c r="A86">
        <v>10</v>
      </c>
      <c r="B86" s="1">
        <v>45658</v>
      </c>
      <c r="C86">
        <v>251</v>
      </c>
    </row>
    <row r="87" spans="1:3" x14ac:dyDescent="0.3">
      <c r="A87">
        <v>10</v>
      </c>
      <c r="B87" s="1">
        <v>45689</v>
      </c>
      <c r="C87">
        <v>212</v>
      </c>
    </row>
    <row r="88" spans="1:3" x14ac:dyDescent="0.3">
      <c r="A88">
        <v>10</v>
      </c>
      <c r="B88" s="1">
        <v>45717</v>
      </c>
      <c r="C88">
        <v>363</v>
      </c>
    </row>
    <row r="89" spans="1:3" x14ac:dyDescent="0.3">
      <c r="A89">
        <v>10</v>
      </c>
      <c r="B89" s="1">
        <v>45748</v>
      </c>
      <c r="C89">
        <v>430</v>
      </c>
    </row>
    <row r="90" spans="1:3" x14ac:dyDescent="0.3">
      <c r="A90">
        <v>10</v>
      </c>
      <c r="B90" s="1">
        <v>45778</v>
      </c>
      <c r="C90">
        <v>227</v>
      </c>
    </row>
    <row r="91" spans="1:3" x14ac:dyDescent="0.3">
      <c r="A91">
        <v>10</v>
      </c>
      <c r="B91" s="1">
        <v>45809</v>
      </c>
      <c r="C91">
        <v>250</v>
      </c>
    </row>
    <row r="92" spans="1:3" x14ac:dyDescent="0.3">
      <c r="A92">
        <v>10</v>
      </c>
      <c r="B92" s="1">
        <v>45839</v>
      </c>
      <c r="C92">
        <v>85</v>
      </c>
    </row>
    <row r="93" spans="1:3" x14ac:dyDescent="0.3">
      <c r="A93">
        <v>10</v>
      </c>
      <c r="B93" s="1">
        <v>45870</v>
      </c>
      <c r="C93">
        <v>42</v>
      </c>
    </row>
    <row r="94" spans="1:3" x14ac:dyDescent="0.3">
      <c r="A94">
        <v>10</v>
      </c>
      <c r="B94" s="1">
        <v>45901</v>
      </c>
      <c r="C94">
        <v>289</v>
      </c>
    </row>
    <row r="95" spans="1:3" x14ac:dyDescent="0.3">
      <c r="A95">
        <v>10</v>
      </c>
      <c r="B95" s="1">
        <v>45931</v>
      </c>
      <c r="C95">
        <v>15</v>
      </c>
    </row>
    <row r="96" spans="1:3" x14ac:dyDescent="0.3">
      <c r="A96">
        <v>10</v>
      </c>
      <c r="B96" s="1">
        <v>45962</v>
      </c>
      <c r="C96">
        <v>407</v>
      </c>
    </row>
    <row r="97" spans="1:3" x14ac:dyDescent="0.3">
      <c r="A97">
        <v>10</v>
      </c>
      <c r="B97" s="1">
        <v>45992</v>
      </c>
      <c r="C97">
        <v>389</v>
      </c>
    </row>
    <row r="98" spans="1:3" x14ac:dyDescent="0.3">
      <c r="A98">
        <v>11</v>
      </c>
      <c r="B98" s="1">
        <v>45658</v>
      </c>
      <c r="C98">
        <v>112</v>
      </c>
    </row>
    <row r="99" spans="1:3" x14ac:dyDescent="0.3">
      <c r="A99">
        <v>11</v>
      </c>
      <c r="B99" s="1">
        <v>45689</v>
      </c>
      <c r="C99">
        <v>149</v>
      </c>
    </row>
    <row r="100" spans="1:3" x14ac:dyDescent="0.3">
      <c r="A100">
        <v>11</v>
      </c>
      <c r="B100" s="1">
        <v>45717</v>
      </c>
      <c r="C100">
        <v>16</v>
      </c>
    </row>
    <row r="101" spans="1:3" x14ac:dyDescent="0.3">
      <c r="A101">
        <v>11</v>
      </c>
      <c r="B101" s="1">
        <v>45748</v>
      </c>
      <c r="C101">
        <v>140</v>
      </c>
    </row>
    <row r="102" spans="1:3" x14ac:dyDescent="0.3">
      <c r="A102">
        <v>11</v>
      </c>
      <c r="B102" s="1">
        <v>45778</v>
      </c>
      <c r="C102">
        <v>115</v>
      </c>
    </row>
    <row r="103" spans="1:3" x14ac:dyDescent="0.3">
      <c r="A103">
        <v>11</v>
      </c>
      <c r="B103" s="1">
        <v>45809</v>
      </c>
      <c r="C103">
        <v>275</v>
      </c>
    </row>
    <row r="104" spans="1:3" x14ac:dyDescent="0.3">
      <c r="A104">
        <v>11</v>
      </c>
      <c r="B104" s="1">
        <v>45839</v>
      </c>
      <c r="C104">
        <v>147</v>
      </c>
    </row>
    <row r="105" spans="1:3" x14ac:dyDescent="0.3">
      <c r="A105">
        <v>11</v>
      </c>
      <c r="B105" s="1">
        <v>45870</v>
      </c>
      <c r="C105">
        <v>86</v>
      </c>
    </row>
    <row r="106" spans="1:3" x14ac:dyDescent="0.3">
      <c r="A106">
        <v>11</v>
      </c>
      <c r="B106" s="1">
        <v>45901</v>
      </c>
      <c r="C106">
        <v>399</v>
      </c>
    </row>
    <row r="107" spans="1:3" x14ac:dyDescent="0.3">
      <c r="A107">
        <v>11</v>
      </c>
      <c r="B107" s="1">
        <v>45931</v>
      </c>
      <c r="C107">
        <v>234</v>
      </c>
    </row>
    <row r="108" spans="1:3" x14ac:dyDescent="0.3">
      <c r="A108">
        <v>11</v>
      </c>
      <c r="B108" s="1">
        <v>45962</v>
      </c>
      <c r="C108">
        <v>289</v>
      </c>
    </row>
    <row r="109" spans="1:3" x14ac:dyDescent="0.3">
      <c r="A109">
        <v>11</v>
      </c>
      <c r="B109" s="1">
        <v>45992</v>
      </c>
      <c r="C109">
        <v>380</v>
      </c>
    </row>
    <row r="110" spans="1:3" x14ac:dyDescent="0.3">
      <c r="A110">
        <v>12</v>
      </c>
      <c r="B110" s="1">
        <v>45658</v>
      </c>
      <c r="C110">
        <v>395</v>
      </c>
    </row>
    <row r="111" spans="1:3" x14ac:dyDescent="0.3">
      <c r="A111">
        <v>12</v>
      </c>
      <c r="B111" s="1">
        <v>45689</v>
      </c>
      <c r="C111">
        <v>392</v>
      </c>
    </row>
    <row r="112" spans="1:3" x14ac:dyDescent="0.3">
      <c r="A112">
        <v>12</v>
      </c>
      <c r="B112" s="1">
        <v>45717</v>
      </c>
      <c r="C112">
        <v>253</v>
      </c>
    </row>
    <row r="113" spans="1:3" x14ac:dyDescent="0.3">
      <c r="A113">
        <v>12</v>
      </c>
      <c r="B113" s="1">
        <v>45748</v>
      </c>
      <c r="C113">
        <v>281</v>
      </c>
    </row>
    <row r="114" spans="1:3" x14ac:dyDescent="0.3">
      <c r="A114">
        <v>12</v>
      </c>
      <c r="B114" s="1">
        <v>45778</v>
      </c>
      <c r="C114">
        <v>261</v>
      </c>
    </row>
    <row r="115" spans="1:3" x14ac:dyDescent="0.3">
      <c r="A115">
        <v>12</v>
      </c>
      <c r="B115" s="1">
        <v>45809</v>
      </c>
      <c r="C115">
        <v>57</v>
      </c>
    </row>
    <row r="116" spans="1:3" x14ac:dyDescent="0.3">
      <c r="A116">
        <v>12</v>
      </c>
      <c r="B116" s="1">
        <v>45839</v>
      </c>
      <c r="C116">
        <v>293</v>
      </c>
    </row>
    <row r="117" spans="1:3" x14ac:dyDescent="0.3">
      <c r="A117">
        <v>12</v>
      </c>
      <c r="B117" s="1">
        <v>45870</v>
      </c>
      <c r="C117">
        <v>58</v>
      </c>
    </row>
    <row r="118" spans="1:3" x14ac:dyDescent="0.3">
      <c r="A118">
        <v>12</v>
      </c>
      <c r="B118" s="1">
        <v>45901</v>
      </c>
      <c r="C118">
        <v>137</v>
      </c>
    </row>
    <row r="119" spans="1:3" x14ac:dyDescent="0.3">
      <c r="A119">
        <v>12</v>
      </c>
      <c r="B119" s="1">
        <v>45931</v>
      </c>
      <c r="C119">
        <v>396</v>
      </c>
    </row>
    <row r="120" spans="1:3" x14ac:dyDescent="0.3">
      <c r="A120">
        <v>12</v>
      </c>
      <c r="B120" s="1">
        <v>45962</v>
      </c>
      <c r="C120">
        <v>278</v>
      </c>
    </row>
    <row r="121" spans="1:3" x14ac:dyDescent="0.3">
      <c r="A121">
        <v>12</v>
      </c>
      <c r="B121" s="1">
        <v>45992</v>
      </c>
      <c r="C121">
        <v>421</v>
      </c>
    </row>
    <row r="122" spans="1:3" x14ac:dyDescent="0.3">
      <c r="A122">
        <v>13</v>
      </c>
      <c r="B122" s="1">
        <v>45658</v>
      </c>
      <c r="C122">
        <v>187</v>
      </c>
    </row>
    <row r="123" spans="1:3" x14ac:dyDescent="0.3">
      <c r="A123">
        <v>13</v>
      </c>
      <c r="B123" s="1">
        <v>45689</v>
      </c>
      <c r="C123">
        <v>277</v>
      </c>
    </row>
    <row r="124" spans="1:3" x14ac:dyDescent="0.3">
      <c r="A124">
        <v>13</v>
      </c>
      <c r="B124" s="1">
        <v>45717</v>
      </c>
      <c r="C124">
        <v>421</v>
      </c>
    </row>
    <row r="125" spans="1:3" x14ac:dyDescent="0.3">
      <c r="A125">
        <v>13</v>
      </c>
      <c r="B125" s="1">
        <v>45748</v>
      </c>
      <c r="C125">
        <v>387</v>
      </c>
    </row>
    <row r="126" spans="1:3" x14ac:dyDescent="0.3">
      <c r="A126">
        <v>13</v>
      </c>
      <c r="B126" s="1">
        <v>45778</v>
      </c>
      <c r="C126">
        <v>21</v>
      </c>
    </row>
    <row r="127" spans="1:3" x14ac:dyDescent="0.3">
      <c r="A127">
        <v>13</v>
      </c>
      <c r="B127" s="1">
        <v>45809</v>
      </c>
      <c r="C127">
        <v>389</v>
      </c>
    </row>
    <row r="128" spans="1:3" x14ac:dyDescent="0.3">
      <c r="A128">
        <v>13</v>
      </c>
      <c r="B128" s="1">
        <v>45839</v>
      </c>
      <c r="C128">
        <v>368</v>
      </c>
    </row>
    <row r="129" spans="1:3" x14ac:dyDescent="0.3">
      <c r="A129">
        <v>13</v>
      </c>
      <c r="B129" s="1">
        <v>45870</v>
      </c>
      <c r="C129">
        <v>225</v>
      </c>
    </row>
    <row r="130" spans="1:3" x14ac:dyDescent="0.3">
      <c r="A130">
        <v>13</v>
      </c>
      <c r="B130" s="1">
        <v>45901</v>
      </c>
      <c r="C130">
        <v>279</v>
      </c>
    </row>
    <row r="131" spans="1:3" x14ac:dyDescent="0.3">
      <c r="A131">
        <v>13</v>
      </c>
      <c r="B131" s="1">
        <v>45931</v>
      </c>
      <c r="C131">
        <v>111</v>
      </c>
    </row>
    <row r="132" spans="1:3" x14ac:dyDescent="0.3">
      <c r="A132">
        <v>13</v>
      </c>
      <c r="B132" s="1">
        <v>45962</v>
      </c>
      <c r="C132">
        <v>217</v>
      </c>
    </row>
    <row r="133" spans="1:3" x14ac:dyDescent="0.3">
      <c r="A133">
        <v>13</v>
      </c>
      <c r="B133" s="1">
        <v>45992</v>
      </c>
      <c r="C133">
        <v>52</v>
      </c>
    </row>
    <row r="134" spans="1:3" x14ac:dyDescent="0.3">
      <c r="A134">
        <v>14</v>
      </c>
      <c r="B134" s="1">
        <v>45658</v>
      </c>
      <c r="C134">
        <v>376</v>
      </c>
    </row>
    <row r="135" spans="1:3" x14ac:dyDescent="0.3">
      <c r="A135">
        <v>14</v>
      </c>
      <c r="B135" s="1">
        <v>45689</v>
      </c>
      <c r="C135">
        <v>424</v>
      </c>
    </row>
    <row r="136" spans="1:3" x14ac:dyDescent="0.3">
      <c r="A136">
        <v>14</v>
      </c>
      <c r="B136" s="1">
        <v>45717</v>
      </c>
      <c r="C136">
        <v>334</v>
      </c>
    </row>
    <row r="137" spans="1:3" x14ac:dyDescent="0.3">
      <c r="A137">
        <v>14</v>
      </c>
      <c r="B137" s="1">
        <v>45748</v>
      </c>
      <c r="C137">
        <v>384</v>
      </c>
    </row>
    <row r="138" spans="1:3" x14ac:dyDescent="0.3">
      <c r="A138">
        <v>14</v>
      </c>
      <c r="B138" s="1">
        <v>45778</v>
      </c>
      <c r="C138">
        <v>126</v>
      </c>
    </row>
    <row r="139" spans="1:3" x14ac:dyDescent="0.3">
      <c r="A139">
        <v>14</v>
      </c>
      <c r="B139" s="1">
        <v>45809</v>
      </c>
      <c r="C139">
        <v>152</v>
      </c>
    </row>
    <row r="140" spans="1:3" x14ac:dyDescent="0.3">
      <c r="A140">
        <v>14</v>
      </c>
      <c r="B140" s="1">
        <v>45839</v>
      </c>
      <c r="C140">
        <v>447</v>
      </c>
    </row>
    <row r="141" spans="1:3" x14ac:dyDescent="0.3">
      <c r="A141">
        <v>14</v>
      </c>
      <c r="B141" s="1">
        <v>45870</v>
      </c>
      <c r="C141">
        <v>16</v>
      </c>
    </row>
    <row r="142" spans="1:3" x14ac:dyDescent="0.3">
      <c r="A142">
        <v>14</v>
      </c>
      <c r="B142" s="1">
        <v>45901</v>
      </c>
      <c r="C142">
        <v>230</v>
      </c>
    </row>
    <row r="143" spans="1:3" x14ac:dyDescent="0.3">
      <c r="A143">
        <v>14</v>
      </c>
      <c r="B143" s="1">
        <v>45931</v>
      </c>
      <c r="C143">
        <v>134</v>
      </c>
    </row>
    <row r="144" spans="1:3" x14ac:dyDescent="0.3">
      <c r="A144">
        <v>14</v>
      </c>
      <c r="B144" s="1">
        <v>45962</v>
      </c>
      <c r="C144">
        <v>178</v>
      </c>
    </row>
    <row r="145" spans="1:3" x14ac:dyDescent="0.3">
      <c r="A145">
        <v>14</v>
      </c>
      <c r="B145" s="1">
        <v>45992</v>
      </c>
      <c r="C145">
        <v>441</v>
      </c>
    </row>
    <row r="146" spans="1:3" x14ac:dyDescent="0.3">
      <c r="A146">
        <v>15</v>
      </c>
      <c r="B146" s="1">
        <v>45658</v>
      </c>
      <c r="C146">
        <v>418</v>
      </c>
    </row>
    <row r="147" spans="1:3" x14ac:dyDescent="0.3">
      <c r="A147">
        <v>15</v>
      </c>
      <c r="B147" s="1">
        <v>45689</v>
      </c>
      <c r="C147">
        <v>44</v>
      </c>
    </row>
    <row r="148" spans="1:3" x14ac:dyDescent="0.3">
      <c r="A148">
        <v>15</v>
      </c>
      <c r="B148" s="1">
        <v>45717</v>
      </c>
      <c r="C148">
        <v>224</v>
      </c>
    </row>
    <row r="149" spans="1:3" x14ac:dyDescent="0.3">
      <c r="A149">
        <v>15</v>
      </c>
      <c r="B149" s="1">
        <v>45748</v>
      </c>
      <c r="C149">
        <v>443</v>
      </c>
    </row>
    <row r="150" spans="1:3" x14ac:dyDescent="0.3">
      <c r="A150">
        <v>15</v>
      </c>
      <c r="B150" s="1">
        <v>45778</v>
      </c>
      <c r="C150">
        <v>60</v>
      </c>
    </row>
    <row r="151" spans="1:3" x14ac:dyDescent="0.3">
      <c r="A151">
        <v>15</v>
      </c>
      <c r="B151" s="1">
        <v>45809</v>
      </c>
      <c r="C151">
        <v>397</v>
      </c>
    </row>
    <row r="152" spans="1:3" x14ac:dyDescent="0.3">
      <c r="A152">
        <v>15</v>
      </c>
      <c r="B152" s="1">
        <v>45839</v>
      </c>
      <c r="C152">
        <v>415</v>
      </c>
    </row>
    <row r="153" spans="1:3" x14ac:dyDescent="0.3">
      <c r="A153">
        <v>15</v>
      </c>
      <c r="B153" s="1">
        <v>45870</v>
      </c>
      <c r="C153">
        <v>121</v>
      </c>
    </row>
    <row r="154" spans="1:3" x14ac:dyDescent="0.3">
      <c r="A154">
        <v>15</v>
      </c>
      <c r="B154" s="1">
        <v>45901</v>
      </c>
      <c r="C154">
        <v>107</v>
      </c>
    </row>
    <row r="155" spans="1:3" x14ac:dyDescent="0.3">
      <c r="A155">
        <v>15</v>
      </c>
      <c r="B155" s="1">
        <v>45931</v>
      </c>
      <c r="C155">
        <v>415</v>
      </c>
    </row>
    <row r="156" spans="1:3" x14ac:dyDescent="0.3">
      <c r="A156">
        <v>15</v>
      </c>
      <c r="B156" s="1">
        <v>45962</v>
      </c>
      <c r="C156">
        <v>377</v>
      </c>
    </row>
    <row r="157" spans="1:3" x14ac:dyDescent="0.3">
      <c r="A157">
        <v>15</v>
      </c>
      <c r="B157" s="1">
        <v>45992</v>
      </c>
      <c r="C157">
        <v>301</v>
      </c>
    </row>
    <row r="158" spans="1:3" x14ac:dyDescent="0.3">
      <c r="A158">
        <v>16</v>
      </c>
      <c r="B158" s="1">
        <v>45658</v>
      </c>
      <c r="C158">
        <v>352</v>
      </c>
    </row>
    <row r="159" spans="1:3" x14ac:dyDescent="0.3">
      <c r="A159">
        <v>16</v>
      </c>
      <c r="B159" s="1">
        <v>45689</v>
      </c>
      <c r="C159">
        <v>179</v>
      </c>
    </row>
    <row r="160" spans="1:3" x14ac:dyDescent="0.3">
      <c r="A160">
        <v>16</v>
      </c>
      <c r="B160" s="1">
        <v>45717</v>
      </c>
      <c r="C160">
        <v>440</v>
      </c>
    </row>
    <row r="161" spans="1:3" x14ac:dyDescent="0.3">
      <c r="A161">
        <v>16</v>
      </c>
      <c r="B161" s="1">
        <v>45748</v>
      </c>
      <c r="C161">
        <v>363</v>
      </c>
    </row>
    <row r="162" spans="1:3" x14ac:dyDescent="0.3">
      <c r="A162">
        <v>16</v>
      </c>
      <c r="B162" s="1">
        <v>45778</v>
      </c>
      <c r="C162">
        <v>312</v>
      </c>
    </row>
    <row r="163" spans="1:3" x14ac:dyDescent="0.3">
      <c r="A163">
        <v>16</v>
      </c>
      <c r="B163" s="1">
        <v>45809</v>
      </c>
      <c r="C163">
        <v>323</v>
      </c>
    </row>
    <row r="164" spans="1:3" x14ac:dyDescent="0.3">
      <c r="A164">
        <v>16</v>
      </c>
      <c r="B164" s="1">
        <v>45839</v>
      </c>
      <c r="C164">
        <v>219</v>
      </c>
    </row>
    <row r="165" spans="1:3" x14ac:dyDescent="0.3">
      <c r="A165">
        <v>16</v>
      </c>
      <c r="B165" s="1">
        <v>45870</v>
      </c>
      <c r="C165">
        <v>84</v>
      </c>
    </row>
    <row r="166" spans="1:3" x14ac:dyDescent="0.3">
      <c r="A166">
        <v>16</v>
      </c>
      <c r="B166" s="1">
        <v>45901</v>
      </c>
      <c r="C166">
        <v>315</v>
      </c>
    </row>
    <row r="167" spans="1:3" x14ac:dyDescent="0.3">
      <c r="A167">
        <v>16</v>
      </c>
      <c r="B167" s="1">
        <v>45931</v>
      </c>
      <c r="C167">
        <v>71</v>
      </c>
    </row>
    <row r="168" spans="1:3" x14ac:dyDescent="0.3">
      <c r="A168">
        <v>16</v>
      </c>
      <c r="B168" s="1">
        <v>45962</v>
      </c>
      <c r="C168">
        <v>401</v>
      </c>
    </row>
    <row r="169" spans="1:3" x14ac:dyDescent="0.3">
      <c r="A169">
        <v>16</v>
      </c>
      <c r="B169" s="1">
        <v>45992</v>
      </c>
      <c r="C169">
        <v>105</v>
      </c>
    </row>
    <row r="170" spans="1:3" x14ac:dyDescent="0.3">
      <c r="A170">
        <v>17</v>
      </c>
      <c r="B170" s="1">
        <v>45658</v>
      </c>
      <c r="C170">
        <v>416</v>
      </c>
    </row>
    <row r="171" spans="1:3" x14ac:dyDescent="0.3">
      <c r="A171">
        <v>17</v>
      </c>
      <c r="B171" s="1">
        <v>45689</v>
      </c>
      <c r="C171">
        <v>105</v>
      </c>
    </row>
    <row r="172" spans="1:3" x14ac:dyDescent="0.3">
      <c r="A172">
        <v>17</v>
      </c>
      <c r="B172" s="1">
        <v>45717</v>
      </c>
      <c r="C172">
        <v>412</v>
      </c>
    </row>
    <row r="173" spans="1:3" x14ac:dyDescent="0.3">
      <c r="A173">
        <v>17</v>
      </c>
      <c r="B173" s="1">
        <v>45748</v>
      </c>
      <c r="C173">
        <v>30</v>
      </c>
    </row>
    <row r="174" spans="1:3" x14ac:dyDescent="0.3">
      <c r="A174">
        <v>17</v>
      </c>
      <c r="B174" s="1">
        <v>45778</v>
      </c>
      <c r="C174">
        <v>291</v>
      </c>
    </row>
    <row r="175" spans="1:3" x14ac:dyDescent="0.3">
      <c r="A175">
        <v>17</v>
      </c>
      <c r="B175" s="1">
        <v>45809</v>
      </c>
      <c r="C175">
        <v>179</v>
      </c>
    </row>
    <row r="176" spans="1:3" x14ac:dyDescent="0.3">
      <c r="A176">
        <v>17</v>
      </c>
      <c r="B176" s="1">
        <v>45839</v>
      </c>
      <c r="C176">
        <v>272</v>
      </c>
    </row>
    <row r="177" spans="1:3" x14ac:dyDescent="0.3">
      <c r="A177">
        <v>17</v>
      </c>
      <c r="B177" s="1">
        <v>45870</v>
      </c>
      <c r="C177">
        <v>143</v>
      </c>
    </row>
    <row r="178" spans="1:3" x14ac:dyDescent="0.3">
      <c r="A178">
        <v>17</v>
      </c>
      <c r="B178" s="1">
        <v>45901</v>
      </c>
      <c r="C178">
        <v>305</v>
      </c>
    </row>
    <row r="179" spans="1:3" x14ac:dyDescent="0.3">
      <c r="A179">
        <v>17</v>
      </c>
      <c r="B179" s="1">
        <v>45931</v>
      </c>
      <c r="C179">
        <v>275</v>
      </c>
    </row>
    <row r="180" spans="1:3" x14ac:dyDescent="0.3">
      <c r="A180">
        <v>17</v>
      </c>
      <c r="B180" s="1">
        <v>45962</v>
      </c>
      <c r="C180">
        <v>86</v>
      </c>
    </row>
    <row r="181" spans="1:3" x14ac:dyDescent="0.3">
      <c r="A181">
        <v>17</v>
      </c>
      <c r="B181" s="1">
        <v>45992</v>
      </c>
      <c r="C181">
        <v>165</v>
      </c>
    </row>
    <row r="182" spans="1:3" x14ac:dyDescent="0.3">
      <c r="A182">
        <v>18</v>
      </c>
      <c r="B182" s="1">
        <v>45658</v>
      </c>
      <c r="C182">
        <v>360</v>
      </c>
    </row>
    <row r="183" spans="1:3" x14ac:dyDescent="0.3">
      <c r="A183">
        <v>18</v>
      </c>
      <c r="B183" s="1">
        <v>45689</v>
      </c>
      <c r="C183">
        <v>149</v>
      </c>
    </row>
    <row r="184" spans="1:3" x14ac:dyDescent="0.3">
      <c r="A184">
        <v>18</v>
      </c>
      <c r="B184" s="1">
        <v>45717</v>
      </c>
      <c r="C184">
        <v>148</v>
      </c>
    </row>
    <row r="185" spans="1:3" x14ac:dyDescent="0.3">
      <c r="A185">
        <v>18</v>
      </c>
      <c r="B185" s="1">
        <v>45748</v>
      </c>
      <c r="C185">
        <v>293</v>
      </c>
    </row>
    <row r="186" spans="1:3" x14ac:dyDescent="0.3">
      <c r="A186">
        <v>18</v>
      </c>
      <c r="B186" s="1">
        <v>45778</v>
      </c>
      <c r="C186">
        <v>136</v>
      </c>
    </row>
    <row r="187" spans="1:3" x14ac:dyDescent="0.3">
      <c r="A187">
        <v>18</v>
      </c>
      <c r="B187" s="1">
        <v>45809</v>
      </c>
      <c r="C187">
        <v>487</v>
      </c>
    </row>
    <row r="188" spans="1:3" x14ac:dyDescent="0.3">
      <c r="A188">
        <v>18</v>
      </c>
      <c r="B188" s="1">
        <v>45839</v>
      </c>
      <c r="C188">
        <v>439</v>
      </c>
    </row>
    <row r="189" spans="1:3" x14ac:dyDescent="0.3">
      <c r="A189">
        <v>18</v>
      </c>
      <c r="B189" s="1">
        <v>45870</v>
      </c>
      <c r="C189">
        <v>263</v>
      </c>
    </row>
    <row r="190" spans="1:3" x14ac:dyDescent="0.3">
      <c r="A190">
        <v>18</v>
      </c>
      <c r="B190" s="1">
        <v>45901</v>
      </c>
      <c r="C190">
        <v>460</v>
      </c>
    </row>
    <row r="191" spans="1:3" x14ac:dyDescent="0.3">
      <c r="A191">
        <v>18</v>
      </c>
      <c r="B191" s="1">
        <v>45931</v>
      </c>
      <c r="C191">
        <v>347</v>
      </c>
    </row>
    <row r="192" spans="1:3" x14ac:dyDescent="0.3">
      <c r="A192">
        <v>18</v>
      </c>
      <c r="B192" s="1">
        <v>45962</v>
      </c>
      <c r="C192">
        <v>417</v>
      </c>
    </row>
    <row r="193" spans="1:3" x14ac:dyDescent="0.3">
      <c r="A193">
        <v>18</v>
      </c>
      <c r="B193" s="1">
        <v>45992</v>
      </c>
      <c r="C193">
        <v>48</v>
      </c>
    </row>
    <row r="194" spans="1:3" x14ac:dyDescent="0.3">
      <c r="A194">
        <v>19</v>
      </c>
      <c r="B194" s="1">
        <v>45658</v>
      </c>
      <c r="C194">
        <v>69</v>
      </c>
    </row>
    <row r="195" spans="1:3" x14ac:dyDescent="0.3">
      <c r="A195">
        <v>19</v>
      </c>
      <c r="B195" s="1">
        <v>45689</v>
      </c>
      <c r="C195">
        <v>492</v>
      </c>
    </row>
    <row r="196" spans="1:3" x14ac:dyDescent="0.3">
      <c r="A196">
        <v>19</v>
      </c>
      <c r="B196" s="1">
        <v>45717</v>
      </c>
      <c r="C196">
        <v>384</v>
      </c>
    </row>
    <row r="197" spans="1:3" x14ac:dyDescent="0.3">
      <c r="A197">
        <v>19</v>
      </c>
      <c r="B197" s="1">
        <v>45748</v>
      </c>
      <c r="C197">
        <v>402</v>
      </c>
    </row>
    <row r="198" spans="1:3" x14ac:dyDescent="0.3">
      <c r="A198">
        <v>19</v>
      </c>
      <c r="B198" s="1">
        <v>45778</v>
      </c>
      <c r="C198">
        <v>210</v>
      </c>
    </row>
    <row r="199" spans="1:3" x14ac:dyDescent="0.3">
      <c r="A199">
        <v>19</v>
      </c>
      <c r="B199" s="1">
        <v>45809</v>
      </c>
      <c r="C199">
        <v>470</v>
      </c>
    </row>
    <row r="200" spans="1:3" x14ac:dyDescent="0.3">
      <c r="A200">
        <v>19</v>
      </c>
      <c r="B200" s="1">
        <v>45839</v>
      </c>
      <c r="C200">
        <v>30</v>
      </c>
    </row>
    <row r="201" spans="1:3" x14ac:dyDescent="0.3">
      <c r="A201">
        <v>19</v>
      </c>
      <c r="B201" s="1">
        <v>45870</v>
      </c>
      <c r="C201">
        <v>141</v>
      </c>
    </row>
    <row r="202" spans="1:3" x14ac:dyDescent="0.3">
      <c r="A202">
        <v>19</v>
      </c>
      <c r="B202" s="1">
        <v>45901</v>
      </c>
      <c r="C202">
        <v>443</v>
      </c>
    </row>
    <row r="203" spans="1:3" x14ac:dyDescent="0.3">
      <c r="A203">
        <v>19</v>
      </c>
      <c r="B203" s="1">
        <v>45931</v>
      </c>
      <c r="C203">
        <v>335</v>
      </c>
    </row>
    <row r="204" spans="1:3" x14ac:dyDescent="0.3">
      <c r="A204">
        <v>19</v>
      </c>
      <c r="B204" s="1">
        <v>45962</v>
      </c>
      <c r="C204">
        <v>64</v>
      </c>
    </row>
    <row r="205" spans="1:3" x14ac:dyDescent="0.3">
      <c r="A205">
        <v>19</v>
      </c>
      <c r="B205" s="1">
        <v>45992</v>
      </c>
      <c r="C205">
        <v>359</v>
      </c>
    </row>
    <row r="206" spans="1:3" x14ac:dyDescent="0.3">
      <c r="A206">
        <v>3</v>
      </c>
      <c r="B206" s="1">
        <v>45658</v>
      </c>
      <c r="C206">
        <v>443</v>
      </c>
    </row>
    <row r="207" spans="1:3" x14ac:dyDescent="0.3">
      <c r="A207">
        <v>3</v>
      </c>
      <c r="B207" s="1">
        <v>45689</v>
      </c>
      <c r="C207">
        <v>67</v>
      </c>
    </row>
    <row r="208" spans="1:3" x14ac:dyDescent="0.3">
      <c r="A208">
        <v>3</v>
      </c>
      <c r="B208" s="1">
        <v>45717</v>
      </c>
      <c r="C208">
        <v>127</v>
      </c>
    </row>
    <row r="209" spans="1:3" x14ac:dyDescent="0.3">
      <c r="A209">
        <v>3</v>
      </c>
      <c r="B209" s="1">
        <v>45748</v>
      </c>
      <c r="C209">
        <v>74</v>
      </c>
    </row>
    <row r="210" spans="1:3" x14ac:dyDescent="0.3">
      <c r="A210">
        <v>3</v>
      </c>
      <c r="B210" s="1">
        <v>45778</v>
      </c>
      <c r="C210">
        <v>364</v>
      </c>
    </row>
    <row r="211" spans="1:3" x14ac:dyDescent="0.3">
      <c r="A211">
        <v>3</v>
      </c>
      <c r="B211" s="1">
        <v>45809</v>
      </c>
      <c r="C211">
        <v>164</v>
      </c>
    </row>
    <row r="212" spans="1:3" x14ac:dyDescent="0.3">
      <c r="A212">
        <v>3</v>
      </c>
      <c r="B212" s="1">
        <v>45839</v>
      </c>
      <c r="C212">
        <v>424</v>
      </c>
    </row>
    <row r="213" spans="1:3" x14ac:dyDescent="0.3">
      <c r="A213">
        <v>3</v>
      </c>
      <c r="B213" s="1">
        <v>45870</v>
      </c>
      <c r="C213">
        <v>126</v>
      </c>
    </row>
    <row r="214" spans="1:3" x14ac:dyDescent="0.3">
      <c r="A214">
        <v>3</v>
      </c>
      <c r="B214" s="1">
        <v>45901</v>
      </c>
      <c r="C214">
        <v>389</v>
      </c>
    </row>
    <row r="215" spans="1:3" x14ac:dyDescent="0.3">
      <c r="A215">
        <v>3</v>
      </c>
      <c r="B215" s="1">
        <v>45931</v>
      </c>
      <c r="C215">
        <v>431</v>
      </c>
    </row>
    <row r="216" spans="1:3" x14ac:dyDescent="0.3">
      <c r="A216">
        <v>3</v>
      </c>
      <c r="B216" s="1">
        <v>45962</v>
      </c>
      <c r="C216">
        <v>346</v>
      </c>
    </row>
    <row r="217" spans="1:3" x14ac:dyDescent="0.3">
      <c r="A217">
        <v>3</v>
      </c>
      <c r="B217" s="1">
        <v>45992</v>
      </c>
      <c r="C217">
        <v>201</v>
      </c>
    </row>
    <row r="218" spans="1:3" x14ac:dyDescent="0.3">
      <c r="A218">
        <v>2</v>
      </c>
      <c r="B218" s="1">
        <v>45658</v>
      </c>
      <c r="C218">
        <v>250</v>
      </c>
    </row>
    <row r="219" spans="1:3" x14ac:dyDescent="0.3">
      <c r="A219">
        <v>2</v>
      </c>
      <c r="B219" s="1">
        <v>45689</v>
      </c>
      <c r="C219">
        <v>72</v>
      </c>
    </row>
    <row r="220" spans="1:3" x14ac:dyDescent="0.3">
      <c r="A220">
        <v>2</v>
      </c>
      <c r="B220" s="1">
        <v>45717</v>
      </c>
      <c r="C220">
        <v>295</v>
      </c>
    </row>
    <row r="221" spans="1:3" x14ac:dyDescent="0.3">
      <c r="A221">
        <v>2</v>
      </c>
      <c r="B221" s="1">
        <v>45748</v>
      </c>
      <c r="C221">
        <v>323</v>
      </c>
    </row>
    <row r="222" spans="1:3" x14ac:dyDescent="0.3">
      <c r="A222">
        <v>2</v>
      </c>
      <c r="B222" s="1">
        <v>45778</v>
      </c>
      <c r="C222">
        <v>137</v>
      </c>
    </row>
    <row r="223" spans="1:3" x14ac:dyDescent="0.3">
      <c r="A223">
        <v>2</v>
      </c>
      <c r="B223" s="1">
        <v>45809</v>
      </c>
      <c r="C223">
        <v>321</v>
      </c>
    </row>
    <row r="224" spans="1:3" x14ac:dyDescent="0.3">
      <c r="A224">
        <v>2</v>
      </c>
      <c r="B224" s="1">
        <v>45839</v>
      </c>
      <c r="C224">
        <v>212</v>
      </c>
    </row>
    <row r="225" spans="1:3" x14ac:dyDescent="0.3">
      <c r="A225">
        <v>2</v>
      </c>
      <c r="B225" s="1">
        <v>45870</v>
      </c>
      <c r="C225">
        <v>192</v>
      </c>
    </row>
    <row r="226" spans="1:3" x14ac:dyDescent="0.3">
      <c r="A226">
        <v>2</v>
      </c>
      <c r="B226" s="1">
        <v>45901</v>
      </c>
      <c r="C226">
        <v>231</v>
      </c>
    </row>
    <row r="227" spans="1:3" x14ac:dyDescent="0.3">
      <c r="A227">
        <v>2</v>
      </c>
      <c r="B227" s="1">
        <v>45931</v>
      </c>
      <c r="C227">
        <v>38</v>
      </c>
    </row>
    <row r="228" spans="1:3" x14ac:dyDescent="0.3">
      <c r="A228">
        <v>2</v>
      </c>
      <c r="B228" s="1">
        <v>45962</v>
      </c>
      <c r="C228">
        <v>324</v>
      </c>
    </row>
    <row r="229" spans="1:3" x14ac:dyDescent="0.3">
      <c r="A229">
        <v>2</v>
      </c>
      <c r="B229" s="1">
        <v>45992</v>
      </c>
      <c r="C229">
        <v>406</v>
      </c>
    </row>
    <row r="230" spans="1:3" x14ac:dyDescent="0.3">
      <c r="A230">
        <v>20</v>
      </c>
      <c r="B230" s="1">
        <v>45658</v>
      </c>
      <c r="C230">
        <v>450</v>
      </c>
    </row>
    <row r="231" spans="1:3" x14ac:dyDescent="0.3">
      <c r="A231">
        <v>20</v>
      </c>
      <c r="B231" s="1">
        <v>45689</v>
      </c>
      <c r="C231">
        <v>393</v>
      </c>
    </row>
    <row r="232" spans="1:3" x14ac:dyDescent="0.3">
      <c r="A232">
        <v>20</v>
      </c>
      <c r="B232" s="1">
        <v>45717</v>
      </c>
      <c r="C232">
        <v>47</v>
      </c>
    </row>
    <row r="233" spans="1:3" x14ac:dyDescent="0.3">
      <c r="A233">
        <v>20</v>
      </c>
      <c r="B233" s="1">
        <v>45748</v>
      </c>
      <c r="C233">
        <v>206</v>
      </c>
    </row>
    <row r="234" spans="1:3" x14ac:dyDescent="0.3">
      <c r="A234">
        <v>20</v>
      </c>
      <c r="B234" s="1">
        <v>45778</v>
      </c>
      <c r="C234">
        <v>263</v>
      </c>
    </row>
    <row r="235" spans="1:3" x14ac:dyDescent="0.3">
      <c r="A235">
        <v>20</v>
      </c>
      <c r="B235" s="1">
        <v>45809</v>
      </c>
      <c r="C235">
        <v>383</v>
      </c>
    </row>
    <row r="236" spans="1:3" x14ac:dyDescent="0.3">
      <c r="A236">
        <v>20</v>
      </c>
      <c r="B236" s="1">
        <v>45839</v>
      </c>
      <c r="C236">
        <v>142</v>
      </c>
    </row>
    <row r="237" spans="1:3" x14ac:dyDescent="0.3">
      <c r="A237">
        <v>20</v>
      </c>
      <c r="B237" s="1">
        <v>45870</v>
      </c>
      <c r="C237">
        <v>355</v>
      </c>
    </row>
    <row r="238" spans="1:3" x14ac:dyDescent="0.3">
      <c r="A238">
        <v>20</v>
      </c>
      <c r="B238" s="1">
        <v>45901</v>
      </c>
      <c r="C238">
        <v>479</v>
      </c>
    </row>
    <row r="239" spans="1:3" x14ac:dyDescent="0.3">
      <c r="A239">
        <v>20</v>
      </c>
      <c r="B239" s="1">
        <v>45931</v>
      </c>
      <c r="C239">
        <v>449</v>
      </c>
    </row>
    <row r="240" spans="1:3" x14ac:dyDescent="0.3">
      <c r="A240">
        <v>20</v>
      </c>
      <c r="B240" s="1">
        <v>45962</v>
      </c>
      <c r="C240">
        <v>188</v>
      </c>
    </row>
    <row r="241" spans="1:3" x14ac:dyDescent="0.3">
      <c r="A241">
        <v>20</v>
      </c>
      <c r="B241" s="1">
        <v>45992</v>
      </c>
      <c r="C241">
        <v>232</v>
      </c>
    </row>
    <row r="242" spans="1:3" x14ac:dyDescent="0.3">
      <c r="A242">
        <v>21</v>
      </c>
      <c r="B242" s="1">
        <v>45658</v>
      </c>
      <c r="C242">
        <v>486</v>
      </c>
    </row>
    <row r="243" spans="1:3" x14ac:dyDescent="0.3">
      <c r="A243">
        <v>21</v>
      </c>
      <c r="B243" s="1">
        <v>45689</v>
      </c>
      <c r="C243">
        <v>249</v>
      </c>
    </row>
    <row r="244" spans="1:3" x14ac:dyDescent="0.3">
      <c r="A244">
        <v>21</v>
      </c>
      <c r="B244" s="1">
        <v>45717</v>
      </c>
      <c r="C244">
        <v>167</v>
      </c>
    </row>
    <row r="245" spans="1:3" x14ac:dyDescent="0.3">
      <c r="A245">
        <v>21</v>
      </c>
      <c r="B245" s="1">
        <v>45748</v>
      </c>
      <c r="C245">
        <v>297</v>
      </c>
    </row>
    <row r="246" spans="1:3" x14ac:dyDescent="0.3">
      <c r="A246">
        <v>21</v>
      </c>
      <c r="B246" s="1">
        <v>45778</v>
      </c>
      <c r="C246">
        <v>1</v>
      </c>
    </row>
    <row r="247" spans="1:3" x14ac:dyDescent="0.3">
      <c r="A247">
        <v>21</v>
      </c>
      <c r="B247" s="1">
        <v>45809</v>
      </c>
      <c r="C247">
        <v>444</v>
      </c>
    </row>
    <row r="248" spans="1:3" x14ac:dyDescent="0.3">
      <c r="A248">
        <v>21</v>
      </c>
      <c r="B248" s="1">
        <v>45839</v>
      </c>
      <c r="C248">
        <v>396</v>
      </c>
    </row>
    <row r="249" spans="1:3" x14ac:dyDescent="0.3">
      <c r="A249">
        <v>21</v>
      </c>
      <c r="B249" s="1">
        <v>45870</v>
      </c>
      <c r="C249">
        <v>433</v>
      </c>
    </row>
    <row r="250" spans="1:3" x14ac:dyDescent="0.3">
      <c r="A250">
        <v>21</v>
      </c>
      <c r="B250" s="1">
        <v>45901</v>
      </c>
      <c r="C250">
        <v>375</v>
      </c>
    </row>
    <row r="251" spans="1:3" x14ac:dyDescent="0.3">
      <c r="A251">
        <v>21</v>
      </c>
      <c r="B251" s="1">
        <v>45931</v>
      </c>
      <c r="C251">
        <v>47</v>
      </c>
    </row>
    <row r="252" spans="1:3" x14ac:dyDescent="0.3">
      <c r="A252">
        <v>21</v>
      </c>
      <c r="B252" s="1">
        <v>45962</v>
      </c>
      <c r="C252">
        <v>374</v>
      </c>
    </row>
    <row r="253" spans="1:3" x14ac:dyDescent="0.3">
      <c r="A253">
        <v>21</v>
      </c>
      <c r="B253" s="1">
        <v>45992</v>
      </c>
      <c r="C253">
        <v>497</v>
      </c>
    </row>
    <row r="254" spans="1:3" x14ac:dyDescent="0.3">
      <c r="A254">
        <v>22</v>
      </c>
      <c r="B254" s="1">
        <v>45658</v>
      </c>
      <c r="C254">
        <v>234</v>
      </c>
    </row>
    <row r="255" spans="1:3" x14ac:dyDescent="0.3">
      <c r="A255">
        <v>22</v>
      </c>
      <c r="B255" s="1">
        <v>45689</v>
      </c>
      <c r="C255">
        <v>325</v>
      </c>
    </row>
    <row r="256" spans="1:3" x14ac:dyDescent="0.3">
      <c r="A256">
        <v>22</v>
      </c>
      <c r="B256" s="1">
        <v>45717</v>
      </c>
      <c r="C256">
        <v>340</v>
      </c>
    </row>
    <row r="257" spans="1:3" x14ac:dyDescent="0.3">
      <c r="A257">
        <v>22</v>
      </c>
      <c r="B257" s="1">
        <v>45748</v>
      </c>
      <c r="C257">
        <v>357</v>
      </c>
    </row>
    <row r="258" spans="1:3" x14ac:dyDescent="0.3">
      <c r="A258">
        <v>22</v>
      </c>
      <c r="B258" s="1">
        <v>45778</v>
      </c>
      <c r="C258">
        <v>183</v>
      </c>
    </row>
    <row r="259" spans="1:3" x14ac:dyDescent="0.3">
      <c r="A259">
        <v>22</v>
      </c>
      <c r="B259" s="1">
        <v>45809</v>
      </c>
      <c r="C259">
        <v>435</v>
      </c>
    </row>
    <row r="260" spans="1:3" x14ac:dyDescent="0.3">
      <c r="A260">
        <v>22</v>
      </c>
      <c r="B260" s="1">
        <v>45839</v>
      </c>
      <c r="C260">
        <v>32</v>
      </c>
    </row>
    <row r="261" spans="1:3" x14ac:dyDescent="0.3">
      <c r="A261">
        <v>22</v>
      </c>
      <c r="B261" s="1">
        <v>45870</v>
      </c>
      <c r="C261">
        <v>407</v>
      </c>
    </row>
    <row r="262" spans="1:3" x14ac:dyDescent="0.3">
      <c r="A262">
        <v>22</v>
      </c>
      <c r="B262" s="1">
        <v>45901</v>
      </c>
      <c r="C262">
        <v>273</v>
      </c>
    </row>
    <row r="263" spans="1:3" x14ac:dyDescent="0.3">
      <c r="A263">
        <v>22</v>
      </c>
      <c r="B263" s="1">
        <v>45931</v>
      </c>
      <c r="C263">
        <v>203</v>
      </c>
    </row>
    <row r="264" spans="1:3" x14ac:dyDescent="0.3">
      <c r="A264">
        <v>22</v>
      </c>
      <c r="B264" s="1">
        <v>45962</v>
      </c>
      <c r="C264">
        <v>111</v>
      </c>
    </row>
    <row r="265" spans="1:3" x14ac:dyDescent="0.3">
      <c r="A265">
        <v>22</v>
      </c>
      <c r="B265" s="1">
        <v>45992</v>
      </c>
      <c r="C265">
        <v>495</v>
      </c>
    </row>
    <row r="266" spans="1:3" x14ac:dyDescent="0.3">
      <c r="A266">
        <v>23</v>
      </c>
      <c r="B266" s="1">
        <v>45658</v>
      </c>
      <c r="C266">
        <v>219</v>
      </c>
    </row>
    <row r="267" spans="1:3" x14ac:dyDescent="0.3">
      <c r="A267">
        <v>23</v>
      </c>
      <c r="B267" s="1">
        <v>45689</v>
      </c>
      <c r="C267">
        <v>422</v>
      </c>
    </row>
    <row r="268" spans="1:3" x14ac:dyDescent="0.3">
      <c r="A268">
        <v>23</v>
      </c>
      <c r="B268" s="1">
        <v>45717</v>
      </c>
      <c r="C268">
        <v>108</v>
      </c>
    </row>
    <row r="269" spans="1:3" x14ac:dyDescent="0.3">
      <c r="A269">
        <v>23</v>
      </c>
      <c r="B269" s="1">
        <v>45748</v>
      </c>
      <c r="C269">
        <v>253</v>
      </c>
    </row>
    <row r="270" spans="1:3" x14ac:dyDescent="0.3">
      <c r="A270">
        <v>23</v>
      </c>
      <c r="B270" s="1">
        <v>45778</v>
      </c>
      <c r="C270">
        <v>137</v>
      </c>
    </row>
    <row r="271" spans="1:3" x14ac:dyDescent="0.3">
      <c r="A271">
        <v>23</v>
      </c>
      <c r="B271" s="1">
        <v>45809</v>
      </c>
      <c r="C271">
        <v>165</v>
      </c>
    </row>
    <row r="272" spans="1:3" x14ac:dyDescent="0.3">
      <c r="A272">
        <v>23</v>
      </c>
      <c r="B272" s="1">
        <v>45839</v>
      </c>
      <c r="C272">
        <v>424</v>
      </c>
    </row>
    <row r="273" spans="1:3" x14ac:dyDescent="0.3">
      <c r="A273">
        <v>23</v>
      </c>
      <c r="B273" s="1">
        <v>45870</v>
      </c>
      <c r="C273">
        <v>145</v>
      </c>
    </row>
    <row r="274" spans="1:3" x14ac:dyDescent="0.3">
      <c r="A274">
        <v>23</v>
      </c>
      <c r="B274" s="1">
        <v>45901</v>
      </c>
      <c r="C274">
        <v>172</v>
      </c>
    </row>
    <row r="275" spans="1:3" x14ac:dyDescent="0.3">
      <c r="A275">
        <v>23</v>
      </c>
      <c r="B275" s="1">
        <v>45931</v>
      </c>
      <c r="C275">
        <v>280</v>
      </c>
    </row>
    <row r="276" spans="1:3" x14ac:dyDescent="0.3">
      <c r="A276">
        <v>23</v>
      </c>
      <c r="B276" s="1">
        <v>45962</v>
      </c>
      <c r="C276">
        <v>295</v>
      </c>
    </row>
    <row r="277" spans="1:3" x14ac:dyDescent="0.3">
      <c r="A277">
        <v>23</v>
      </c>
      <c r="B277" s="1">
        <v>45992</v>
      </c>
      <c r="C277">
        <v>66</v>
      </c>
    </row>
    <row r="278" spans="1:3" x14ac:dyDescent="0.3">
      <c r="A278">
        <v>24</v>
      </c>
      <c r="B278" s="1">
        <v>45658</v>
      </c>
      <c r="C278">
        <v>289</v>
      </c>
    </row>
    <row r="279" spans="1:3" x14ac:dyDescent="0.3">
      <c r="A279">
        <v>24</v>
      </c>
      <c r="B279" s="1">
        <v>45689</v>
      </c>
      <c r="C279">
        <v>436</v>
      </c>
    </row>
    <row r="280" spans="1:3" x14ac:dyDescent="0.3">
      <c r="A280">
        <v>24</v>
      </c>
      <c r="B280" s="1">
        <v>45717</v>
      </c>
      <c r="C280">
        <v>248</v>
      </c>
    </row>
    <row r="281" spans="1:3" x14ac:dyDescent="0.3">
      <c r="A281">
        <v>24</v>
      </c>
      <c r="B281" s="1">
        <v>45748</v>
      </c>
      <c r="C281">
        <v>403</v>
      </c>
    </row>
    <row r="282" spans="1:3" x14ac:dyDescent="0.3">
      <c r="A282">
        <v>24</v>
      </c>
      <c r="B282" s="1">
        <v>45778</v>
      </c>
      <c r="C282">
        <v>175</v>
      </c>
    </row>
    <row r="283" spans="1:3" x14ac:dyDescent="0.3">
      <c r="A283">
        <v>24</v>
      </c>
      <c r="B283" s="1">
        <v>45809</v>
      </c>
      <c r="C283">
        <v>457</v>
      </c>
    </row>
    <row r="284" spans="1:3" x14ac:dyDescent="0.3">
      <c r="A284">
        <v>24</v>
      </c>
      <c r="B284" s="1">
        <v>45839</v>
      </c>
      <c r="C284">
        <v>349</v>
      </c>
    </row>
    <row r="285" spans="1:3" x14ac:dyDescent="0.3">
      <c r="A285">
        <v>24</v>
      </c>
      <c r="B285" s="1">
        <v>45870</v>
      </c>
      <c r="C285">
        <v>390</v>
      </c>
    </row>
    <row r="286" spans="1:3" x14ac:dyDescent="0.3">
      <c r="A286">
        <v>24</v>
      </c>
      <c r="B286" s="1">
        <v>45901</v>
      </c>
      <c r="C286">
        <v>24</v>
      </c>
    </row>
    <row r="287" spans="1:3" x14ac:dyDescent="0.3">
      <c r="A287">
        <v>24</v>
      </c>
      <c r="B287" s="1">
        <v>45931</v>
      </c>
      <c r="C287">
        <v>23</v>
      </c>
    </row>
    <row r="288" spans="1:3" x14ac:dyDescent="0.3">
      <c r="A288">
        <v>24</v>
      </c>
      <c r="B288" s="1">
        <v>45962</v>
      </c>
      <c r="C288">
        <v>50</v>
      </c>
    </row>
    <row r="289" spans="1:3" x14ac:dyDescent="0.3">
      <c r="A289">
        <v>24</v>
      </c>
      <c r="B289" s="1">
        <v>45992</v>
      </c>
      <c r="C289">
        <v>320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B60326-09BE-4122-A666-196662294EF2}">
  <sheetPr codeName="Sheet12"/>
  <dimension ref="A1:B30"/>
  <sheetViews>
    <sheetView workbookViewId="0"/>
  </sheetViews>
  <sheetFormatPr defaultRowHeight="14.4" x14ac:dyDescent="0.3"/>
  <cols>
    <col min="1" max="1" width="12.33203125" bestFit="1" customWidth="1"/>
    <col min="2" max="2" width="10.6640625" bestFit="1" customWidth="1"/>
  </cols>
  <sheetData>
    <row r="1" spans="1:2" x14ac:dyDescent="0.3">
      <c r="A1" t="s">
        <v>0</v>
      </c>
      <c r="B1" t="s">
        <v>311</v>
      </c>
    </row>
    <row r="2" spans="1:2" x14ac:dyDescent="0.3">
      <c r="A2">
        <v>1</v>
      </c>
      <c r="B2">
        <v>1</v>
      </c>
    </row>
    <row r="3" spans="1:2" x14ac:dyDescent="0.3">
      <c r="A3">
        <v>6</v>
      </c>
      <c r="B3">
        <v>1</v>
      </c>
    </row>
    <row r="4" spans="1:2" x14ac:dyDescent="0.3">
      <c r="A4">
        <v>1</v>
      </c>
      <c r="B4">
        <v>14</v>
      </c>
    </row>
    <row r="5" spans="1:2" x14ac:dyDescent="0.3">
      <c r="A5">
        <v>1</v>
      </c>
      <c r="B5">
        <v>13</v>
      </c>
    </row>
    <row r="6" spans="1:2" x14ac:dyDescent="0.3">
      <c r="A6">
        <v>2</v>
      </c>
      <c r="B6">
        <v>13</v>
      </c>
    </row>
    <row r="7" spans="1:2" x14ac:dyDescent="0.3">
      <c r="A7">
        <v>4</v>
      </c>
      <c r="B7">
        <v>3</v>
      </c>
    </row>
    <row r="8" spans="1:2" x14ac:dyDescent="0.3">
      <c r="A8">
        <v>5</v>
      </c>
      <c r="B8">
        <v>3</v>
      </c>
    </row>
    <row r="9" spans="1:2" x14ac:dyDescent="0.3">
      <c r="A9">
        <v>1</v>
      </c>
      <c r="B9">
        <v>10</v>
      </c>
    </row>
    <row r="10" spans="1:2" x14ac:dyDescent="0.3">
      <c r="A10">
        <v>2</v>
      </c>
      <c r="B10">
        <v>29</v>
      </c>
    </row>
    <row r="11" spans="1:2" x14ac:dyDescent="0.3">
      <c r="A11">
        <v>4</v>
      </c>
      <c r="B11">
        <v>29</v>
      </c>
    </row>
    <row r="12" spans="1:2" x14ac:dyDescent="0.3">
      <c r="A12">
        <v>4</v>
      </c>
      <c r="B12">
        <v>9</v>
      </c>
    </row>
    <row r="13" spans="1:2" x14ac:dyDescent="0.3">
      <c r="A13">
        <v>2</v>
      </c>
      <c r="B13">
        <v>11</v>
      </c>
    </row>
    <row r="14" spans="1:2" x14ac:dyDescent="0.3">
      <c r="A14">
        <v>2</v>
      </c>
      <c r="B14">
        <v>21</v>
      </c>
    </row>
    <row r="15" spans="1:2" x14ac:dyDescent="0.3">
      <c r="A15">
        <v>5</v>
      </c>
      <c r="B15">
        <v>18</v>
      </c>
    </row>
    <row r="16" spans="1:2" x14ac:dyDescent="0.3">
      <c r="A16">
        <v>5</v>
      </c>
      <c r="B16">
        <v>20</v>
      </c>
    </row>
    <row r="17" spans="1:2" x14ac:dyDescent="0.3">
      <c r="A17">
        <v>1</v>
      </c>
      <c r="B17">
        <v>34</v>
      </c>
    </row>
    <row r="18" spans="1:2" x14ac:dyDescent="0.3">
      <c r="A18">
        <v>3</v>
      </c>
      <c r="B18">
        <v>34</v>
      </c>
    </row>
    <row r="19" spans="1:2" x14ac:dyDescent="0.3">
      <c r="A19">
        <v>5</v>
      </c>
      <c r="B19">
        <v>34</v>
      </c>
    </row>
    <row r="20" spans="1:2" x14ac:dyDescent="0.3">
      <c r="A20">
        <v>1</v>
      </c>
      <c r="B20">
        <v>41</v>
      </c>
    </row>
    <row r="21" spans="1:2" x14ac:dyDescent="0.3">
      <c r="A21">
        <v>6</v>
      </c>
      <c r="B21">
        <v>41</v>
      </c>
    </row>
    <row r="22" spans="1:2" x14ac:dyDescent="0.3">
      <c r="A22">
        <v>3</v>
      </c>
      <c r="B22">
        <v>42</v>
      </c>
    </row>
    <row r="23" spans="1:2" x14ac:dyDescent="0.3">
      <c r="A23">
        <v>1</v>
      </c>
      <c r="B23">
        <v>44</v>
      </c>
    </row>
    <row r="24" spans="1:2" x14ac:dyDescent="0.3">
      <c r="A24">
        <v>2</v>
      </c>
      <c r="B24">
        <v>45</v>
      </c>
    </row>
    <row r="25" spans="1:2" x14ac:dyDescent="0.3">
      <c r="A25">
        <v>4</v>
      </c>
      <c r="B25">
        <v>45</v>
      </c>
    </row>
    <row r="26" spans="1:2" x14ac:dyDescent="0.3">
      <c r="A26">
        <v>6</v>
      </c>
      <c r="B26">
        <v>49</v>
      </c>
    </row>
    <row r="27" spans="1:2" x14ac:dyDescent="0.3">
      <c r="A27">
        <v>2</v>
      </c>
      <c r="B27">
        <v>50</v>
      </c>
    </row>
    <row r="28" spans="1:2" x14ac:dyDescent="0.3">
      <c r="A28">
        <v>6</v>
      </c>
      <c r="B28">
        <v>50</v>
      </c>
    </row>
    <row r="29" spans="1:2" x14ac:dyDescent="0.3">
      <c r="A29">
        <v>3</v>
      </c>
      <c r="B29">
        <v>53</v>
      </c>
    </row>
    <row r="30" spans="1:2" x14ac:dyDescent="0.3">
      <c r="A30">
        <v>3</v>
      </c>
      <c r="B30">
        <v>57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A3CC4-9543-4C92-87F9-3CC1214E6F32}">
  <sheetPr codeName="Sheet13"/>
  <dimension ref="A1:M201"/>
  <sheetViews>
    <sheetView workbookViewId="0">
      <selection activeCell="H1" sqref="H1:H1048576"/>
    </sheetView>
  </sheetViews>
  <sheetFormatPr defaultRowHeight="14.4" x14ac:dyDescent="0.3"/>
  <cols>
    <col min="1" max="1" width="6.88671875" bestFit="1" customWidth="1"/>
    <col min="2" max="2" width="9.6640625" bestFit="1" customWidth="1"/>
    <col min="3" max="3" width="7.33203125" bestFit="1" customWidth="1"/>
    <col min="5" max="5" width="8.21875" bestFit="1" customWidth="1"/>
    <col min="6" max="6" width="11.21875" bestFit="1" customWidth="1"/>
    <col min="7" max="7" width="8.21875" bestFit="1" customWidth="1"/>
    <col min="8" max="8" width="10.33203125" style="1" bestFit="1" customWidth="1"/>
    <col min="9" max="9" width="10.6640625" bestFit="1" customWidth="1"/>
    <col min="10" max="10" width="10.88671875" bestFit="1" customWidth="1"/>
    <col min="11" max="11" width="7.33203125" bestFit="1" customWidth="1"/>
    <col min="12" max="12" width="13.77734375" bestFit="1" customWidth="1"/>
    <col min="13" max="13" width="12.6640625" bestFit="1" customWidth="1"/>
  </cols>
  <sheetData>
    <row r="1" spans="1:13" x14ac:dyDescent="0.3">
      <c r="A1" t="s">
        <v>580</v>
      </c>
      <c r="B1" t="s">
        <v>488</v>
      </c>
      <c r="C1" t="s">
        <v>581</v>
      </c>
      <c r="D1" t="s">
        <v>317</v>
      </c>
      <c r="E1" t="s">
        <v>582</v>
      </c>
      <c r="F1" t="s">
        <v>583</v>
      </c>
      <c r="G1" t="s">
        <v>584</v>
      </c>
      <c r="H1" s="1" t="s">
        <v>489</v>
      </c>
      <c r="I1" t="s">
        <v>311</v>
      </c>
      <c r="J1" t="s">
        <v>16</v>
      </c>
      <c r="K1" t="s">
        <v>297</v>
      </c>
      <c r="L1" t="s">
        <v>585</v>
      </c>
      <c r="M1" t="s">
        <v>586</v>
      </c>
    </row>
    <row r="2" spans="1:13" x14ac:dyDescent="0.3">
      <c r="A2" t="s">
        <v>587</v>
      </c>
      <c r="B2" t="s">
        <v>535</v>
      </c>
      <c r="C2">
        <v>9</v>
      </c>
      <c r="D2">
        <v>686.54</v>
      </c>
      <c r="E2">
        <v>377.6</v>
      </c>
      <c r="F2">
        <v>0</v>
      </c>
      <c r="G2">
        <v>6178.86</v>
      </c>
      <c r="H2" s="1">
        <v>46277.41337962963</v>
      </c>
      <c r="I2">
        <v>6</v>
      </c>
      <c r="J2">
        <v>1052</v>
      </c>
      <c r="K2">
        <v>6</v>
      </c>
      <c r="L2">
        <v>8</v>
      </c>
      <c r="M2">
        <v>4</v>
      </c>
    </row>
    <row r="3" spans="1:13" x14ac:dyDescent="0.3">
      <c r="A3" t="s">
        <v>588</v>
      </c>
      <c r="B3" t="s">
        <v>533</v>
      </c>
      <c r="C3">
        <v>3</v>
      </c>
      <c r="D3">
        <v>694.96</v>
      </c>
      <c r="E3">
        <v>382.23</v>
      </c>
      <c r="F3">
        <v>0</v>
      </c>
      <c r="G3">
        <v>2084.88</v>
      </c>
      <c r="H3" s="1">
        <v>45943.638356481482</v>
      </c>
      <c r="I3">
        <v>2</v>
      </c>
      <c r="J3">
        <v>1016</v>
      </c>
      <c r="K3">
        <v>12</v>
      </c>
      <c r="L3">
        <v>8</v>
      </c>
      <c r="M3">
        <v>4</v>
      </c>
    </row>
    <row r="4" spans="1:13" x14ac:dyDescent="0.3">
      <c r="A4" t="s">
        <v>589</v>
      </c>
      <c r="B4" t="s">
        <v>528</v>
      </c>
      <c r="C4">
        <v>9</v>
      </c>
      <c r="D4">
        <v>641.44000000000005</v>
      </c>
      <c r="E4">
        <v>378.45</v>
      </c>
      <c r="F4">
        <v>0</v>
      </c>
      <c r="G4">
        <v>5772.96</v>
      </c>
      <c r="H4" s="1">
        <v>45739.302928240744</v>
      </c>
      <c r="I4">
        <v>51</v>
      </c>
      <c r="J4">
        <v>1058</v>
      </c>
      <c r="K4">
        <v>2</v>
      </c>
      <c r="L4">
        <v>10</v>
      </c>
      <c r="M4">
        <v>2</v>
      </c>
    </row>
    <row r="5" spans="1:13" x14ac:dyDescent="0.3">
      <c r="A5" t="s">
        <v>590</v>
      </c>
      <c r="B5" t="s">
        <v>527</v>
      </c>
      <c r="C5">
        <v>6</v>
      </c>
      <c r="D5">
        <v>686.54</v>
      </c>
      <c r="E5">
        <v>487.44</v>
      </c>
      <c r="F5">
        <v>0</v>
      </c>
      <c r="G5">
        <v>4119.24</v>
      </c>
      <c r="H5" s="1">
        <v>45759.778715277775</v>
      </c>
      <c r="I5">
        <v>6</v>
      </c>
      <c r="J5">
        <v>1021</v>
      </c>
      <c r="K5">
        <v>1</v>
      </c>
      <c r="L5">
        <v>16</v>
      </c>
      <c r="M5">
        <v>16</v>
      </c>
    </row>
    <row r="6" spans="1:13" x14ac:dyDescent="0.3">
      <c r="A6" t="s">
        <v>591</v>
      </c>
      <c r="B6" t="s">
        <v>501</v>
      </c>
      <c r="C6">
        <v>9</v>
      </c>
      <c r="D6">
        <v>105.46</v>
      </c>
      <c r="E6">
        <v>74.88</v>
      </c>
      <c r="F6">
        <v>0</v>
      </c>
      <c r="G6">
        <v>949.14</v>
      </c>
      <c r="H6" s="1">
        <v>45798.641261574077</v>
      </c>
      <c r="I6">
        <v>8</v>
      </c>
      <c r="J6">
        <v>1037</v>
      </c>
      <c r="K6">
        <v>6</v>
      </c>
      <c r="L6">
        <v>16</v>
      </c>
      <c r="M6">
        <v>16</v>
      </c>
    </row>
    <row r="7" spans="1:13" x14ac:dyDescent="0.3">
      <c r="A7" t="s">
        <v>592</v>
      </c>
      <c r="B7" t="s">
        <v>537</v>
      </c>
      <c r="C7">
        <v>3</v>
      </c>
      <c r="D7">
        <v>858.85</v>
      </c>
      <c r="E7">
        <v>506.72</v>
      </c>
      <c r="F7">
        <v>0</v>
      </c>
      <c r="G7">
        <v>2576.5500000000002</v>
      </c>
      <c r="H7" s="1">
        <v>46186.345891203702</v>
      </c>
      <c r="I7">
        <v>38</v>
      </c>
      <c r="J7">
        <v>1046</v>
      </c>
      <c r="K7">
        <v>5</v>
      </c>
      <c r="L7">
        <v>15</v>
      </c>
      <c r="M7">
        <v>7</v>
      </c>
    </row>
    <row r="8" spans="1:13" x14ac:dyDescent="0.3">
      <c r="A8" t="s">
        <v>593</v>
      </c>
      <c r="B8" t="s">
        <v>529</v>
      </c>
      <c r="C8">
        <v>4</v>
      </c>
      <c r="D8">
        <v>645.96</v>
      </c>
      <c r="E8">
        <v>355.28</v>
      </c>
      <c r="F8">
        <v>0</v>
      </c>
      <c r="G8">
        <v>2583.84</v>
      </c>
      <c r="H8" s="1">
        <v>45848.606527777774</v>
      </c>
      <c r="I8">
        <v>47</v>
      </c>
      <c r="J8">
        <v>1048</v>
      </c>
      <c r="K8">
        <v>8</v>
      </c>
      <c r="L8">
        <v>3</v>
      </c>
      <c r="M8">
        <v>19</v>
      </c>
    </row>
    <row r="9" spans="1:13" x14ac:dyDescent="0.3">
      <c r="A9" t="s">
        <v>594</v>
      </c>
      <c r="B9" t="s">
        <v>569</v>
      </c>
      <c r="C9">
        <v>2</v>
      </c>
      <c r="D9">
        <v>345.48</v>
      </c>
      <c r="E9">
        <v>203.83</v>
      </c>
      <c r="F9">
        <v>0</v>
      </c>
      <c r="G9">
        <v>690.96</v>
      </c>
      <c r="H9" s="1">
        <v>46277.537488425929</v>
      </c>
      <c r="I9">
        <v>48</v>
      </c>
      <c r="J9">
        <v>1058</v>
      </c>
      <c r="K9">
        <v>13</v>
      </c>
      <c r="L9">
        <v>20</v>
      </c>
      <c r="M9">
        <v>12</v>
      </c>
    </row>
    <row r="10" spans="1:13" x14ac:dyDescent="0.3">
      <c r="A10" t="s">
        <v>595</v>
      </c>
      <c r="B10" t="s">
        <v>551</v>
      </c>
      <c r="C10">
        <v>9</v>
      </c>
      <c r="D10">
        <v>645.96</v>
      </c>
      <c r="E10">
        <v>381.12</v>
      </c>
      <c r="F10">
        <v>0</v>
      </c>
      <c r="G10">
        <v>5813.64</v>
      </c>
      <c r="H10" s="1">
        <v>46148.643622685187</v>
      </c>
      <c r="I10">
        <v>47</v>
      </c>
      <c r="J10">
        <v>1046</v>
      </c>
      <c r="K10">
        <v>9</v>
      </c>
      <c r="L10">
        <v>5</v>
      </c>
      <c r="M10">
        <v>17</v>
      </c>
    </row>
    <row r="11" spans="1:13" x14ac:dyDescent="0.3">
      <c r="A11" t="s">
        <v>596</v>
      </c>
      <c r="B11" t="s">
        <v>504</v>
      </c>
      <c r="C11">
        <v>3</v>
      </c>
      <c r="D11">
        <v>654.04999999999995</v>
      </c>
      <c r="E11">
        <v>438.21</v>
      </c>
      <c r="F11">
        <v>0</v>
      </c>
      <c r="G11">
        <v>1962.15</v>
      </c>
      <c r="H11" s="1">
        <v>45742.768807870372</v>
      </c>
      <c r="I11">
        <v>34</v>
      </c>
      <c r="J11">
        <v>1052</v>
      </c>
      <c r="K11">
        <v>7</v>
      </c>
      <c r="L11">
        <v>14</v>
      </c>
      <c r="M11">
        <v>18</v>
      </c>
    </row>
    <row r="12" spans="1:13" x14ac:dyDescent="0.3">
      <c r="A12" t="s">
        <v>597</v>
      </c>
      <c r="B12" t="s">
        <v>553</v>
      </c>
      <c r="C12">
        <v>8</v>
      </c>
      <c r="D12">
        <v>345.48</v>
      </c>
      <c r="E12">
        <v>217.65</v>
      </c>
      <c r="F12">
        <v>0</v>
      </c>
      <c r="G12">
        <v>2763.84</v>
      </c>
      <c r="H12" s="1">
        <v>46248.486956018518</v>
      </c>
      <c r="I12">
        <v>48</v>
      </c>
      <c r="J12">
        <v>1050</v>
      </c>
      <c r="K12">
        <v>5</v>
      </c>
      <c r="L12">
        <v>7</v>
      </c>
      <c r="M12">
        <v>15</v>
      </c>
    </row>
    <row r="13" spans="1:13" x14ac:dyDescent="0.3">
      <c r="A13" t="s">
        <v>598</v>
      </c>
      <c r="B13" t="s">
        <v>495</v>
      </c>
      <c r="C13">
        <v>7</v>
      </c>
      <c r="D13">
        <v>823.13</v>
      </c>
      <c r="E13">
        <v>518.57000000000005</v>
      </c>
      <c r="F13">
        <v>0</v>
      </c>
      <c r="G13">
        <v>5761.91</v>
      </c>
      <c r="H13" s="1">
        <v>45966.335590277777</v>
      </c>
      <c r="I13">
        <v>21</v>
      </c>
      <c r="J13">
        <v>1016</v>
      </c>
      <c r="K13">
        <v>3</v>
      </c>
      <c r="L13">
        <v>17</v>
      </c>
      <c r="M13">
        <v>5</v>
      </c>
    </row>
    <row r="14" spans="1:13" x14ac:dyDescent="0.3">
      <c r="A14" t="s">
        <v>599</v>
      </c>
      <c r="B14" t="s">
        <v>532</v>
      </c>
      <c r="C14">
        <v>6</v>
      </c>
      <c r="D14">
        <v>568.39</v>
      </c>
      <c r="E14">
        <v>358.09</v>
      </c>
      <c r="F14">
        <v>0</v>
      </c>
      <c r="G14">
        <v>3410.34</v>
      </c>
      <c r="H14" s="1">
        <v>45802.335625</v>
      </c>
      <c r="I14">
        <v>36</v>
      </c>
      <c r="J14">
        <v>1016</v>
      </c>
      <c r="K14">
        <v>11</v>
      </c>
      <c r="L14">
        <v>2</v>
      </c>
      <c r="M14">
        <v>10</v>
      </c>
    </row>
    <row r="15" spans="1:13" x14ac:dyDescent="0.3">
      <c r="A15" t="s">
        <v>600</v>
      </c>
      <c r="B15" t="s">
        <v>503</v>
      </c>
      <c r="C15">
        <v>7</v>
      </c>
      <c r="D15">
        <v>568.39</v>
      </c>
      <c r="E15">
        <v>335.35</v>
      </c>
      <c r="F15">
        <v>0</v>
      </c>
      <c r="G15">
        <v>3978.73</v>
      </c>
      <c r="H15" s="1">
        <v>45997.463784722226</v>
      </c>
      <c r="I15">
        <v>36</v>
      </c>
      <c r="J15">
        <v>1056</v>
      </c>
      <c r="K15">
        <v>6</v>
      </c>
      <c r="L15">
        <v>20</v>
      </c>
      <c r="M15">
        <v>12</v>
      </c>
    </row>
    <row r="16" spans="1:13" x14ac:dyDescent="0.3">
      <c r="A16" t="s">
        <v>601</v>
      </c>
      <c r="B16" t="s">
        <v>513</v>
      </c>
      <c r="C16">
        <v>10</v>
      </c>
      <c r="D16">
        <v>568.39</v>
      </c>
      <c r="E16">
        <v>380.82</v>
      </c>
      <c r="F16">
        <v>0</v>
      </c>
      <c r="G16">
        <v>5683.9</v>
      </c>
      <c r="H16" s="1">
        <v>45990.729548611111</v>
      </c>
      <c r="I16">
        <v>36</v>
      </c>
      <c r="J16">
        <v>1036</v>
      </c>
      <c r="K16">
        <v>7</v>
      </c>
      <c r="L16">
        <v>14</v>
      </c>
      <c r="M16">
        <v>18</v>
      </c>
    </row>
    <row r="17" spans="1:13" x14ac:dyDescent="0.3">
      <c r="A17" t="s">
        <v>602</v>
      </c>
      <c r="B17" t="s">
        <v>540</v>
      </c>
      <c r="C17">
        <v>9</v>
      </c>
      <c r="D17">
        <v>886.92</v>
      </c>
      <c r="E17">
        <v>487.81</v>
      </c>
      <c r="F17">
        <v>0</v>
      </c>
      <c r="G17">
        <v>7982.28</v>
      </c>
      <c r="H17" s="1">
        <v>46215.660092592596</v>
      </c>
      <c r="I17">
        <v>14</v>
      </c>
      <c r="J17">
        <v>1034</v>
      </c>
      <c r="K17">
        <v>10</v>
      </c>
      <c r="L17">
        <v>18</v>
      </c>
      <c r="M17">
        <v>14</v>
      </c>
    </row>
    <row r="18" spans="1:13" x14ac:dyDescent="0.3">
      <c r="A18" t="s">
        <v>603</v>
      </c>
      <c r="B18" t="s">
        <v>496</v>
      </c>
      <c r="C18">
        <v>5</v>
      </c>
      <c r="D18">
        <v>505.22</v>
      </c>
      <c r="E18">
        <v>338.5</v>
      </c>
      <c r="F18">
        <v>0</v>
      </c>
      <c r="G18">
        <v>2526.1</v>
      </c>
      <c r="H18" s="1">
        <v>45821.541388888887</v>
      </c>
      <c r="I18">
        <v>50</v>
      </c>
      <c r="J18">
        <v>1016</v>
      </c>
      <c r="K18">
        <v>9</v>
      </c>
      <c r="L18">
        <v>9</v>
      </c>
      <c r="M18">
        <v>13</v>
      </c>
    </row>
    <row r="19" spans="1:13" x14ac:dyDescent="0.3">
      <c r="A19" t="s">
        <v>604</v>
      </c>
      <c r="B19" t="s">
        <v>547</v>
      </c>
      <c r="C19">
        <v>10</v>
      </c>
      <c r="D19">
        <v>351.41</v>
      </c>
      <c r="E19">
        <v>193.28</v>
      </c>
      <c r="F19">
        <v>0</v>
      </c>
      <c r="G19">
        <v>3514.1</v>
      </c>
      <c r="H19" s="1">
        <v>46035.619155092594</v>
      </c>
      <c r="I19">
        <v>15</v>
      </c>
      <c r="J19">
        <v>1037</v>
      </c>
      <c r="K19">
        <v>7</v>
      </c>
      <c r="L19">
        <v>18</v>
      </c>
      <c r="M19">
        <v>14</v>
      </c>
    </row>
    <row r="20" spans="1:13" x14ac:dyDescent="0.3">
      <c r="A20" t="s">
        <v>605</v>
      </c>
      <c r="B20" t="s">
        <v>515</v>
      </c>
      <c r="C20">
        <v>6</v>
      </c>
      <c r="D20">
        <v>351.41</v>
      </c>
      <c r="E20">
        <v>207.33</v>
      </c>
      <c r="F20">
        <v>0</v>
      </c>
      <c r="G20">
        <v>2108.46</v>
      </c>
      <c r="H20" s="1">
        <v>45953.75953703704</v>
      </c>
      <c r="I20">
        <v>15</v>
      </c>
      <c r="J20">
        <v>1050</v>
      </c>
      <c r="K20">
        <v>5</v>
      </c>
      <c r="L20">
        <v>15</v>
      </c>
      <c r="M20">
        <v>7</v>
      </c>
    </row>
    <row r="21" spans="1:13" x14ac:dyDescent="0.3">
      <c r="A21" t="s">
        <v>606</v>
      </c>
      <c r="B21" t="s">
        <v>499</v>
      </c>
      <c r="C21">
        <v>4</v>
      </c>
      <c r="D21">
        <v>394.16</v>
      </c>
      <c r="E21">
        <v>279.85000000000002</v>
      </c>
      <c r="F21">
        <v>0</v>
      </c>
      <c r="G21">
        <v>1576.64</v>
      </c>
      <c r="H21" s="1">
        <v>45739.529374999998</v>
      </c>
      <c r="I21">
        <v>25</v>
      </c>
      <c r="J21">
        <v>1007</v>
      </c>
      <c r="K21">
        <v>3</v>
      </c>
      <c r="L21">
        <v>1</v>
      </c>
      <c r="M21">
        <v>1</v>
      </c>
    </row>
    <row r="22" spans="1:13" x14ac:dyDescent="0.3">
      <c r="A22" t="s">
        <v>607</v>
      </c>
      <c r="B22" t="s">
        <v>510</v>
      </c>
      <c r="C22">
        <v>2</v>
      </c>
      <c r="D22">
        <v>237.5</v>
      </c>
      <c r="E22">
        <v>168.63</v>
      </c>
      <c r="F22">
        <v>0</v>
      </c>
      <c r="G22">
        <v>475</v>
      </c>
      <c r="H22" s="1">
        <v>46005.641527777778</v>
      </c>
      <c r="I22">
        <v>30</v>
      </c>
      <c r="J22">
        <v>1024</v>
      </c>
      <c r="K22">
        <v>5</v>
      </c>
      <c r="L22">
        <v>11</v>
      </c>
      <c r="M22">
        <v>11</v>
      </c>
    </row>
    <row r="23" spans="1:13" x14ac:dyDescent="0.3">
      <c r="A23" t="s">
        <v>608</v>
      </c>
      <c r="B23" t="s">
        <v>497</v>
      </c>
      <c r="C23">
        <v>3</v>
      </c>
      <c r="D23">
        <v>727.47</v>
      </c>
      <c r="E23">
        <v>487.4</v>
      </c>
      <c r="F23">
        <v>0</v>
      </c>
      <c r="G23">
        <v>2182.41</v>
      </c>
      <c r="H23" s="1">
        <v>46004.716585648152</v>
      </c>
      <c r="I23">
        <v>20</v>
      </c>
      <c r="J23">
        <v>1035</v>
      </c>
      <c r="K23">
        <v>5</v>
      </c>
      <c r="L23">
        <v>19</v>
      </c>
      <c r="M23">
        <v>3</v>
      </c>
    </row>
    <row r="24" spans="1:13" x14ac:dyDescent="0.3">
      <c r="A24" t="s">
        <v>609</v>
      </c>
      <c r="B24" t="s">
        <v>523</v>
      </c>
      <c r="C24">
        <v>1</v>
      </c>
      <c r="D24">
        <v>727.47</v>
      </c>
      <c r="E24">
        <v>516.5</v>
      </c>
      <c r="F24">
        <v>0</v>
      </c>
      <c r="G24">
        <v>727.47</v>
      </c>
      <c r="H24" s="1">
        <v>45948.344583333332</v>
      </c>
      <c r="I24">
        <v>20</v>
      </c>
      <c r="J24">
        <v>1034</v>
      </c>
      <c r="K24">
        <v>10</v>
      </c>
      <c r="L24">
        <v>6</v>
      </c>
      <c r="M24">
        <v>6</v>
      </c>
    </row>
    <row r="25" spans="1:13" x14ac:dyDescent="0.3">
      <c r="A25" t="s">
        <v>610</v>
      </c>
      <c r="B25" t="s">
        <v>508</v>
      </c>
      <c r="C25">
        <v>5</v>
      </c>
      <c r="D25">
        <v>727.47</v>
      </c>
      <c r="E25">
        <v>429.21</v>
      </c>
      <c r="F25">
        <v>0</v>
      </c>
      <c r="G25">
        <v>3637.35</v>
      </c>
      <c r="H25" s="1">
        <v>45768.54787037037</v>
      </c>
      <c r="I25">
        <v>20</v>
      </c>
      <c r="J25">
        <v>1055</v>
      </c>
      <c r="K25">
        <v>10</v>
      </c>
      <c r="L25">
        <v>10</v>
      </c>
      <c r="M25">
        <v>2</v>
      </c>
    </row>
    <row r="26" spans="1:13" x14ac:dyDescent="0.3">
      <c r="A26" t="s">
        <v>611</v>
      </c>
      <c r="B26" t="s">
        <v>545</v>
      </c>
      <c r="C26">
        <v>1</v>
      </c>
      <c r="D26">
        <v>545.07000000000005</v>
      </c>
      <c r="E26">
        <v>365.2</v>
      </c>
      <c r="F26">
        <v>0</v>
      </c>
      <c r="G26">
        <v>545.07000000000005</v>
      </c>
      <c r="H26" s="1">
        <v>46221.638159722221</v>
      </c>
      <c r="I26">
        <v>39</v>
      </c>
      <c r="J26">
        <v>1005</v>
      </c>
      <c r="K26">
        <v>13</v>
      </c>
      <c r="L26">
        <v>4</v>
      </c>
      <c r="M26">
        <v>8</v>
      </c>
    </row>
    <row r="27" spans="1:13" x14ac:dyDescent="0.3">
      <c r="A27" t="s">
        <v>612</v>
      </c>
      <c r="B27" t="s">
        <v>526</v>
      </c>
      <c r="C27">
        <v>3</v>
      </c>
      <c r="D27">
        <v>679.53</v>
      </c>
      <c r="E27">
        <v>428.1</v>
      </c>
      <c r="F27">
        <v>0</v>
      </c>
      <c r="G27">
        <v>2038.59</v>
      </c>
      <c r="H27" s="1">
        <v>46003.804583333331</v>
      </c>
      <c r="I27">
        <v>32</v>
      </c>
      <c r="J27">
        <v>1048</v>
      </c>
      <c r="K27">
        <v>13</v>
      </c>
      <c r="L27">
        <v>12</v>
      </c>
      <c r="M27">
        <v>20</v>
      </c>
    </row>
    <row r="28" spans="1:13" x14ac:dyDescent="0.3">
      <c r="A28" t="s">
        <v>613</v>
      </c>
      <c r="B28" t="s">
        <v>544</v>
      </c>
      <c r="C28">
        <v>4</v>
      </c>
      <c r="D28">
        <v>230.05</v>
      </c>
      <c r="E28">
        <v>144.93</v>
      </c>
      <c r="F28">
        <v>0</v>
      </c>
      <c r="G28">
        <v>920.2</v>
      </c>
      <c r="H28" s="1">
        <v>46301.367789351854</v>
      </c>
      <c r="I28">
        <v>55</v>
      </c>
      <c r="J28">
        <v>1043</v>
      </c>
      <c r="K28">
        <v>6</v>
      </c>
      <c r="L28">
        <v>12</v>
      </c>
      <c r="M28">
        <v>20</v>
      </c>
    </row>
    <row r="29" spans="1:13" x14ac:dyDescent="0.3">
      <c r="A29" t="s">
        <v>614</v>
      </c>
      <c r="B29" t="s">
        <v>505</v>
      </c>
      <c r="C29">
        <v>4</v>
      </c>
      <c r="D29">
        <v>837.09</v>
      </c>
      <c r="E29">
        <v>460.4</v>
      </c>
      <c r="F29">
        <v>0</v>
      </c>
      <c r="G29">
        <v>3348.36</v>
      </c>
      <c r="H29" s="1">
        <v>45866.526493055557</v>
      </c>
      <c r="I29">
        <v>46</v>
      </c>
      <c r="J29">
        <v>1030</v>
      </c>
      <c r="K29">
        <v>6</v>
      </c>
      <c r="L29">
        <v>8</v>
      </c>
      <c r="M29">
        <v>4</v>
      </c>
    </row>
    <row r="30" spans="1:13" x14ac:dyDescent="0.3">
      <c r="A30" t="s">
        <v>615</v>
      </c>
      <c r="B30" t="s">
        <v>549</v>
      </c>
      <c r="C30">
        <v>8</v>
      </c>
      <c r="D30">
        <v>184.56</v>
      </c>
      <c r="E30">
        <v>116.27</v>
      </c>
      <c r="F30">
        <v>0</v>
      </c>
      <c r="G30">
        <v>1476.48</v>
      </c>
      <c r="H30" s="1">
        <v>46280.743379629632</v>
      </c>
      <c r="I30">
        <v>60</v>
      </c>
      <c r="J30">
        <v>1055</v>
      </c>
      <c r="K30">
        <v>7</v>
      </c>
      <c r="L30">
        <v>2</v>
      </c>
      <c r="M30">
        <v>10</v>
      </c>
    </row>
    <row r="31" spans="1:13" x14ac:dyDescent="0.3">
      <c r="A31" t="s">
        <v>616</v>
      </c>
      <c r="B31" t="s">
        <v>534</v>
      </c>
      <c r="C31">
        <v>2</v>
      </c>
      <c r="D31">
        <v>655.16999999999996</v>
      </c>
      <c r="E31">
        <v>386.55</v>
      </c>
      <c r="F31">
        <v>0</v>
      </c>
      <c r="G31">
        <v>1310.3399999999999</v>
      </c>
      <c r="H31" s="1">
        <v>45821.571898148148</v>
      </c>
      <c r="I31">
        <v>54</v>
      </c>
      <c r="J31">
        <v>1020</v>
      </c>
      <c r="K31">
        <v>12</v>
      </c>
      <c r="L31">
        <v>20</v>
      </c>
      <c r="M31">
        <v>12</v>
      </c>
    </row>
    <row r="32" spans="1:13" x14ac:dyDescent="0.3">
      <c r="A32" t="s">
        <v>617</v>
      </c>
      <c r="B32" t="s">
        <v>556</v>
      </c>
      <c r="C32">
        <v>8</v>
      </c>
      <c r="D32">
        <v>378.83</v>
      </c>
      <c r="E32">
        <v>253.82</v>
      </c>
      <c r="F32">
        <v>0</v>
      </c>
      <c r="G32">
        <v>3030.64</v>
      </c>
      <c r="H32" s="1">
        <v>46221.494895833333</v>
      </c>
      <c r="I32">
        <v>57</v>
      </c>
      <c r="J32">
        <v>1029</v>
      </c>
      <c r="K32">
        <v>13</v>
      </c>
      <c r="L32">
        <v>4</v>
      </c>
      <c r="M32">
        <v>8</v>
      </c>
    </row>
    <row r="33" spans="1:13" x14ac:dyDescent="0.3">
      <c r="A33" t="s">
        <v>618</v>
      </c>
      <c r="B33" t="s">
        <v>570</v>
      </c>
      <c r="C33">
        <v>4</v>
      </c>
      <c r="D33">
        <v>659.47</v>
      </c>
      <c r="E33">
        <v>415.47</v>
      </c>
      <c r="F33">
        <v>0</v>
      </c>
      <c r="G33">
        <v>2637.88</v>
      </c>
      <c r="H33" s="1">
        <v>46179.647048611114</v>
      </c>
      <c r="I33">
        <v>59</v>
      </c>
      <c r="J33">
        <v>1054</v>
      </c>
      <c r="K33">
        <v>6</v>
      </c>
      <c r="L33">
        <v>12</v>
      </c>
      <c r="M33">
        <v>20</v>
      </c>
    </row>
    <row r="34" spans="1:13" x14ac:dyDescent="0.3">
      <c r="A34" t="s">
        <v>619</v>
      </c>
      <c r="B34" t="s">
        <v>557</v>
      </c>
      <c r="C34">
        <v>1</v>
      </c>
      <c r="D34">
        <v>683.87</v>
      </c>
      <c r="E34">
        <v>485.55</v>
      </c>
      <c r="F34">
        <v>0</v>
      </c>
      <c r="G34">
        <v>683.87</v>
      </c>
      <c r="H34" s="1">
        <v>46250.676921296297</v>
      </c>
      <c r="I34">
        <v>27</v>
      </c>
      <c r="J34">
        <v>1017</v>
      </c>
      <c r="K34">
        <v>10</v>
      </c>
      <c r="L34">
        <v>6</v>
      </c>
      <c r="M34">
        <v>6</v>
      </c>
    </row>
    <row r="35" spans="1:13" x14ac:dyDescent="0.3">
      <c r="A35" t="s">
        <v>620</v>
      </c>
      <c r="B35" t="s">
        <v>558</v>
      </c>
      <c r="C35">
        <v>4</v>
      </c>
      <c r="D35">
        <v>191.04</v>
      </c>
      <c r="E35">
        <v>105.07</v>
      </c>
      <c r="F35">
        <v>0</v>
      </c>
      <c r="G35">
        <v>764.16</v>
      </c>
      <c r="H35" s="1">
        <v>46292.828750000001</v>
      </c>
      <c r="I35">
        <v>37</v>
      </c>
      <c r="J35">
        <v>1047</v>
      </c>
      <c r="K35">
        <v>9</v>
      </c>
      <c r="L35">
        <v>13</v>
      </c>
      <c r="M35">
        <v>9</v>
      </c>
    </row>
    <row r="36" spans="1:13" x14ac:dyDescent="0.3">
      <c r="A36" t="s">
        <v>621</v>
      </c>
      <c r="B36" t="s">
        <v>560</v>
      </c>
      <c r="C36">
        <v>9</v>
      </c>
      <c r="D36">
        <v>679.53</v>
      </c>
      <c r="E36">
        <v>482.47</v>
      </c>
      <c r="F36">
        <v>0</v>
      </c>
      <c r="G36">
        <v>6115.77</v>
      </c>
      <c r="H36" s="1">
        <v>46209.499710648146</v>
      </c>
      <c r="I36">
        <v>32</v>
      </c>
      <c r="J36">
        <v>1013</v>
      </c>
      <c r="K36">
        <v>13</v>
      </c>
      <c r="L36">
        <v>16</v>
      </c>
      <c r="M36">
        <v>16</v>
      </c>
    </row>
    <row r="37" spans="1:13" x14ac:dyDescent="0.3">
      <c r="A37" t="s">
        <v>622</v>
      </c>
      <c r="B37" t="s">
        <v>561</v>
      </c>
      <c r="C37">
        <v>8</v>
      </c>
      <c r="D37">
        <v>424.1</v>
      </c>
      <c r="E37">
        <v>250.22</v>
      </c>
      <c r="F37">
        <v>0</v>
      </c>
      <c r="G37">
        <v>3392.8</v>
      </c>
      <c r="H37" s="1">
        <v>46081.531597222223</v>
      </c>
      <c r="I37">
        <v>19</v>
      </c>
      <c r="J37">
        <v>1007</v>
      </c>
      <c r="K37">
        <v>7</v>
      </c>
      <c r="L37">
        <v>10</v>
      </c>
      <c r="M37">
        <v>2</v>
      </c>
    </row>
    <row r="38" spans="1:13" x14ac:dyDescent="0.3">
      <c r="A38" t="s">
        <v>623</v>
      </c>
      <c r="B38" t="s">
        <v>562</v>
      </c>
      <c r="C38">
        <v>8</v>
      </c>
      <c r="D38">
        <v>645.96</v>
      </c>
      <c r="E38">
        <v>406.95</v>
      </c>
      <c r="F38">
        <v>0</v>
      </c>
      <c r="G38">
        <v>5167.68</v>
      </c>
      <c r="H38" s="1">
        <v>46326.604641203703</v>
      </c>
      <c r="I38">
        <v>47</v>
      </c>
      <c r="J38">
        <v>1027</v>
      </c>
      <c r="K38">
        <v>3</v>
      </c>
      <c r="L38">
        <v>17</v>
      </c>
      <c r="M38">
        <v>5</v>
      </c>
    </row>
    <row r="39" spans="1:13" x14ac:dyDescent="0.3">
      <c r="A39" t="s">
        <v>624</v>
      </c>
      <c r="B39" t="s">
        <v>563</v>
      </c>
      <c r="C39">
        <v>3</v>
      </c>
      <c r="D39">
        <v>76.56</v>
      </c>
      <c r="E39">
        <v>42.11</v>
      </c>
      <c r="F39">
        <v>0</v>
      </c>
      <c r="G39">
        <v>229.68</v>
      </c>
      <c r="H39" s="1">
        <v>46275.374548611115</v>
      </c>
      <c r="I39">
        <v>13</v>
      </c>
      <c r="J39">
        <v>1037</v>
      </c>
      <c r="K39">
        <v>10</v>
      </c>
      <c r="L39">
        <v>18</v>
      </c>
      <c r="M39">
        <v>14</v>
      </c>
    </row>
    <row r="40" spans="1:13" x14ac:dyDescent="0.3">
      <c r="A40" t="s">
        <v>625</v>
      </c>
      <c r="B40" t="s">
        <v>564</v>
      </c>
      <c r="C40">
        <v>9</v>
      </c>
      <c r="D40">
        <v>659.47</v>
      </c>
      <c r="E40">
        <v>441.84</v>
      </c>
      <c r="F40">
        <v>0</v>
      </c>
      <c r="G40">
        <v>5935.23</v>
      </c>
      <c r="H40" s="1">
        <v>46073.564120370371</v>
      </c>
      <c r="I40">
        <v>59</v>
      </c>
      <c r="J40">
        <v>1058</v>
      </c>
      <c r="K40">
        <v>4</v>
      </c>
      <c r="L40">
        <v>19</v>
      </c>
      <c r="M40">
        <v>3</v>
      </c>
    </row>
    <row r="41" spans="1:13" x14ac:dyDescent="0.3">
      <c r="A41" t="s">
        <v>626</v>
      </c>
      <c r="B41" t="s">
        <v>566</v>
      </c>
      <c r="C41">
        <v>1</v>
      </c>
      <c r="D41">
        <v>234.4</v>
      </c>
      <c r="E41">
        <v>157.05000000000001</v>
      </c>
      <c r="F41">
        <v>0</v>
      </c>
      <c r="G41">
        <v>234.4</v>
      </c>
      <c r="H41" s="1">
        <v>46123.776655092595</v>
      </c>
      <c r="I41">
        <v>49</v>
      </c>
      <c r="J41">
        <v>1010</v>
      </c>
      <c r="K41">
        <v>10</v>
      </c>
      <c r="L41">
        <v>14</v>
      </c>
      <c r="M41">
        <v>18</v>
      </c>
    </row>
    <row r="42" spans="1:13" x14ac:dyDescent="0.3">
      <c r="A42" t="s">
        <v>627</v>
      </c>
      <c r="B42" t="s">
        <v>567</v>
      </c>
      <c r="C42">
        <v>3</v>
      </c>
      <c r="D42">
        <v>683.87</v>
      </c>
      <c r="E42">
        <v>485.55</v>
      </c>
      <c r="F42">
        <v>0</v>
      </c>
      <c r="G42">
        <v>2051.61</v>
      </c>
      <c r="H42" s="1">
        <v>46268.795520833337</v>
      </c>
      <c r="I42">
        <v>27</v>
      </c>
      <c r="J42">
        <v>1044</v>
      </c>
      <c r="K42">
        <v>3</v>
      </c>
      <c r="L42">
        <v>1</v>
      </c>
      <c r="M42">
        <v>1</v>
      </c>
    </row>
    <row r="43" spans="1:13" x14ac:dyDescent="0.3">
      <c r="A43" t="s">
        <v>628</v>
      </c>
      <c r="B43" t="s">
        <v>560</v>
      </c>
      <c r="C43">
        <v>4</v>
      </c>
      <c r="D43">
        <v>220.9</v>
      </c>
      <c r="E43">
        <v>139.16999999999999</v>
      </c>
      <c r="F43">
        <v>0</v>
      </c>
      <c r="G43">
        <v>883.6</v>
      </c>
      <c r="H43" s="1">
        <v>46209.499710648146</v>
      </c>
      <c r="I43">
        <v>1</v>
      </c>
      <c r="J43">
        <v>1013</v>
      </c>
      <c r="K43">
        <v>13</v>
      </c>
      <c r="L43">
        <v>16</v>
      </c>
      <c r="M43">
        <v>16</v>
      </c>
    </row>
    <row r="44" spans="1:13" x14ac:dyDescent="0.3">
      <c r="A44" t="s">
        <v>629</v>
      </c>
      <c r="B44" t="s">
        <v>564</v>
      </c>
      <c r="C44">
        <v>1</v>
      </c>
      <c r="D44">
        <v>19.5</v>
      </c>
      <c r="E44">
        <v>13.85</v>
      </c>
      <c r="F44">
        <v>0</v>
      </c>
      <c r="G44">
        <v>19.5</v>
      </c>
      <c r="H44" s="1">
        <v>46073.564120370371</v>
      </c>
      <c r="J44">
        <v>1058</v>
      </c>
      <c r="K44">
        <v>4</v>
      </c>
      <c r="L44">
        <v>19</v>
      </c>
      <c r="M44">
        <v>3</v>
      </c>
    </row>
    <row r="45" spans="1:13" x14ac:dyDescent="0.3">
      <c r="A45" t="s">
        <v>630</v>
      </c>
      <c r="B45" t="s">
        <v>518</v>
      </c>
      <c r="C45">
        <v>10</v>
      </c>
      <c r="D45">
        <v>336.24</v>
      </c>
      <c r="E45">
        <v>184.93</v>
      </c>
      <c r="F45">
        <v>0</v>
      </c>
      <c r="G45">
        <v>3362.4</v>
      </c>
      <c r="H45" s="1">
        <v>45749.733495370368</v>
      </c>
      <c r="I45">
        <v>40</v>
      </c>
      <c r="J45">
        <v>1004</v>
      </c>
      <c r="K45">
        <v>13</v>
      </c>
      <c r="L45">
        <v>4</v>
      </c>
      <c r="M45">
        <v>8</v>
      </c>
    </row>
    <row r="46" spans="1:13" x14ac:dyDescent="0.3">
      <c r="A46" t="s">
        <v>631</v>
      </c>
      <c r="B46" t="s">
        <v>552</v>
      </c>
      <c r="C46">
        <v>1</v>
      </c>
      <c r="D46">
        <v>648.67999999999995</v>
      </c>
      <c r="E46">
        <v>434.62</v>
      </c>
      <c r="F46">
        <v>0</v>
      </c>
      <c r="G46">
        <v>648.67999999999995</v>
      </c>
      <c r="H46" s="1">
        <v>46037.649375000001</v>
      </c>
      <c r="I46">
        <v>4</v>
      </c>
      <c r="J46">
        <v>1049</v>
      </c>
      <c r="K46">
        <v>5</v>
      </c>
      <c r="L46">
        <v>15</v>
      </c>
      <c r="M46">
        <v>7</v>
      </c>
    </row>
    <row r="47" spans="1:13" x14ac:dyDescent="0.3">
      <c r="A47" t="s">
        <v>632</v>
      </c>
      <c r="B47" t="s">
        <v>512</v>
      </c>
      <c r="C47">
        <v>1</v>
      </c>
      <c r="D47">
        <v>683.87</v>
      </c>
      <c r="E47">
        <v>376.13</v>
      </c>
      <c r="F47">
        <v>0</v>
      </c>
      <c r="G47">
        <v>683.87</v>
      </c>
      <c r="H47" s="1">
        <v>45853.311342592591</v>
      </c>
      <c r="I47">
        <v>27</v>
      </c>
      <c r="J47">
        <v>1008</v>
      </c>
      <c r="K47">
        <v>6</v>
      </c>
      <c r="L47">
        <v>20</v>
      </c>
      <c r="M47">
        <v>12</v>
      </c>
    </row>
    <row r="48" spans="1:13" x14ac:dyDescent="0.3">
      <c r="A48" t="s">
        <v>633</v>
      </c>
      <c r="B48" t="s">
        <v>543</v>
      </c>
      <c r="C48">
        <v>9</v>
      </c>
      <c r="D48">
        <v>648.67999999999995</v>
      </c>
      <c r="E48">
        <v>382.72</v>
      </c>
      <c r="F48">
        <v>0</v>
      </c>
      <c r="G48">
        <v>5838.12</v>
      </c>
      <c r="H48" s="1">
        <v>46126.304305555554</v>
      </c>
      <c r="I48">
        <v>4</v>
      </c>
      <c r="J48">
        <v>1005</v>
      </c>
      <c r="K48">
        <v>7</v>
      </c>
      <c r="L48">
        <v>6</v>
      </c>
      <c r="M48">
        <v>6</v>
      </c>
    </row>
    <row r="49" spans="1:13" x14ac:dyDescent="0.3">
      <c r="A49" t="s">
        <v>634</v>
      </c>
      <c r="B49" t="s">
        <v>516</v>
      </c>
      <c r="C49">
        <v>9</v>
      </c>
      <c r="D49">
        <v>648.67999999999995</v>
      </c>
      <c r="E49">
        <v>460.56</v>
      </c>
      <c r="F49">
        <v>0</v>
      </c>
      <c r="G49">
        <v>5838.12</v>
      </c>
      <c r="H49" s="1">
        <v>45938.46361111111</v>
      </c>
      <c r="I49">
        <v>4</v>
      </c>
      <c r="J49">
        <v>1060</v>
      </c>
      <c r="K49">
        <v>10</v>
      </c>
      <c r="L49">
        <v>2</v>
      </c>
      <c r="M49">
        <v>10</v>
      </c>
    </row>
    <row r="50" spans="1:13" x14ac:dyDescent="0.3">
      <c r="A50" t="s">
        <v>635</v>
      </c>
      <c r="B50" t="s">
        <v>531</v>
      </c>
      <c r="C50">
        <v>3</v>
      </c>
      <c r="D50">
        <v>42.8</v>
      </c>
      <c r="E50">
        <v>25.25</v>
      </c>
      <c r="F50">
        <v>0</v>
      </c>
      <c r="G50">
        <v>128.4</v>
      </c>
      <c r="H50" s="1">
        <v>45903.419236111113</v>
      </c>
      <c r="I50">
        <v>52</v>
      </c>
      <c r="J50">
        <v>1038</v>
      </c>
      <c r="K50">
        <v>8</v>
      </c>
      <c r="L50">
        <v>3</v>
      </c>
      <c r="M50">
        <v>19</v>
      </c>
    </row>
    <row r="51" spans="1:13" x14ac:dyDescent="0.3">
      <c r="A51" t="s">
        <v>636</v>
      </c>
      <c r="B51" t="s">
        <v>559</v>
      </c>
      <c r="C51">
        <v>2</v>
      </c>
      <c r="D51">
        <v>129</v>
      </c>
      <c r="E51">
        <v>81.27</v>
      </c>
      <c r="F51">
        <v>0</v>
      </c>
      <c r="G51">
        <v>258</v>
      </c>
      <c r="H51" s="1">
        <v>46284.622152777774</v>
      </c>
      <c r="J51">
        <v>1050</v>
      </c>
      <c r="K51">
        <v>4</v>
      </c>
      <c r="L51">
        <v>7</v>
      </c>
      <c r="M51">
        <v>15</v>
      </c>
    </row>
    <row r="52" spans="1:13" x14ac:dyDescent="0.3">
      <c r="A52" t="s">
        <v>637</v>
      </c>
      <c r="B52" t="s">
        <v>503</v>
      </c>
      <c r="C52">
        <v>9</v>
      </c>
      <c r="D52">
        <v>336.24</v>
      </c>
      <c r="E52">
        <v>184.93</v>
      </c>
      <c r="F52">
        <v>0</v>
      </c>
      <c r="G52">
        <v>3026.16</v>
      </c>
      <c r="H52" s="1">
        <v>45997.463784722226</v>
      </c>
      <c r="I52">
        <v>40</v>
      </c>
      <c r="J52">
        <v>1056</v>
      </c>
      <c r="K52">
        <v>6</v>
      </c>
      <c r="L52">
        <v>20</v>
      </c>
      <c r="M52">
        <v>12</v>
      </c>
    </row>
    <row r="53" spans="1:13" x14ac:dyDescent="0.3">
      <c r="A53" t="s">
        <v>638</v>
      </c>
      <c r="B53" t="s">
        <v>530</v>
      </c>
      <c r="C53">
        <v>7</v>
      </c>
      <c r="D53">
        <v>624.02</v>
      </c>
      <c r="E53">
        <v>393.13</v>
      </c>
      <c r="F53">
        <v>0</v>
      </c>
      <c r="G53">
        <v>4368.1400000000003</v>
      </c>
      <c r="H53" s="1">
        <v>45770.56758101852</v>
      </c>
      <c r="I53">
        <v>3</v>
      </c>
      <c r="J53">
        <v>1044</v>
      </c>
      <c r="K53">
        <v>8</v>
      </c>
      <c r="L53">
        <v>19</v>
      </c>
      <c r="M53">
        <v>3</v>
      </c>
    </row>
    <row r="54" spans="1:13" x14ac:dyDescent="0.3">
      <c r="A54" t="s">
        <v>639</v>
      </c>
      <c r="B54" t="s">
        <v>513</v>
      </c>
      <c r="C54">
        <v>6</v>
      </c>
      <c r="D54">
        <v>105.46</v>
      </c>
      <c r="E54">
        <v>70.66</v>
      </c>
      <c r="F54">
        <v>0</v>
      </c>
      <c r="G54">
        <v>632.76</v>
      </c>
      <c r="H54" s="1">
        <v>45990.729548611111</v>
      </c>
      <c r="I54">
        <v>8</v>
      </c>
      <c r="J54">
        <v>1036</v>
      </c>
      <c r="K54">
        <v>7</v>
      </c>
      <c r="L54">
        <v>14</v>
      </c>
      <c r="M54">
        <v>18</v>
      </c>
    </row>
    <row r="55" spans="1:13" x14ac:dyDescent="0.3">
      <c r="A55" t="s">
        <v>640</v>
      </c>
      <c r="B55" t="s">
        <v>519</v>
      </c>
      <c r="C55">
        <v>4</v>
      </c>
      <c r="D55">
        <v>481.99</v>
      </c>
      <c r="E55">
        <v>284.37</v>
      </c>
      <c r="F55">
        <v>0</v>
      </c>
      <c r="G55">
        <v>1927.96</v>
      </c>
      <c r="H55" s="1">
        <v>45855.796770833331</v>
      </c>
      <c r="I55">
        <v>45</v>
      </c>
      <c r="J55">
        <v>1018</v>
      </c>
      <c r="K55">
        <v>3</v>
      </c>
      <c r="L55">
        <v>5</v>
      </c>
      <c r="M55">
        <v>17</v>
      </c>
    </row>
    <row r="56" spans="1:13" x14ac:dyDescent="0.3">
      <c r="A56" t="s">
        <v>641</v>
      </c>
      <c r="B56" t="s">
        <v>548</v>
      </c>
      <c r="C56">
        <v>1</v>
      </c>
      <c r="D56">
        <v>84.7</v>
      </c>
      <c r="E56">
        <v>56.75</v>
      </c>
      <c r="F56">
        <v>0</v>
      </c>
      <c r="G56">
        <v>84.7</v>
      </c>
      <c r="H56" s="1">
        <v>46073.478518518517</v>
      </c>
      <c r="I56">
        <v>42</v>
      </c>
      <c r="J56">
        <v>1016</v>
      </c>
      <c r="K56">
        <v>9</v>
      </c>
      <c r="L56">
        <v>1</v>
      </c>
      <c r="M56">
        <v>1</v>
      </c>
    </row>
    <row r="57" spans="1:13" x14ac:dyDescent="0.3">
      <c r="A57" t="s">
        <v>642</v>
      </c>
      <c r="B57" t="s">
        <v>571</v>
      </c>
      <c r="C57">
        <v>7</v>
      </c>
      <c r="D57">
        <v>105.46</v>
      </c>
      <c r="E57">
        <v>74.88</v>
      </c>
      <c r="F57">
        <v>0</v>
      </c>
      <c r="G57">
        <v>738.22</v>
      </c>
      <c r="H57" s="1">
        <v>46105.373773148145</v>
      </c>
      <c r="I57">
        <v>8</v>
      </c>
      <c r="J57">
        <v>1054</v>
      </c>
      <c r="K57">
        <v>2</v>
      </c>
      <c r="L57">
        <v>2</v>
      </c>
      <c r="M57">
        <v>10</v>
      </c>
    </row>
    <row r="58" spans="1:13" x14ac:dyDescent="0.3">
      <c r="A58" t="s">
        <v>643</v>
      </c>
      <c r="B58" t="s">
        <v>535</v>
      </c>
      <c r="C58">
        <v>1</v>
      </c>
      <c r="D58">
        <v>410</v>
      </c>
      <c r="E58">
        <v>258.3</v>
      </c>
      <c r="F58">
        <v>0</v>
      </c>
      <c r="G58">
        <v>410</v>
      </c>
      <c r="H58" s="1">
        <v>46277.41337962963</v>
      </c>
      <c r="J58">
        <v>1052</v>
      </c>
      <c r="K58">
        <v>6</v>
      </c>
      <c r="L58">
        <v>8</v>
      </c>
      <c r="M58">
        <v>4</v>
      </c>
    </row>
    <row r="59" spans="1:13" x14ac:dyDescent="0.3">
      <c r="A59" t="s">
        <v>644</v>
      </c>
      <c r="B59" t="s">
        <v>520</v>
      </c>
      <c r="C59">
        <v>8</v>
      </c>
      <c r="D59">
        <v>105.46</v>
      </c>
      <c r="E59">
        <v>74.88</v>
      </c>
      <c r="F59">
        <v>0</v>
      </c>
      <c r="G59">
        <v>843.68</v>
      </c>
      <c r="H59" s="1">
        <v>45912.303055555552</v>
      </c>
      <c r="I59">
        <v>8</v>
      </c>
      <c r="J59">
        <v>1021</v>
      </c>
      <c r="K59">
        <v>10</v>
      </c>
      <c r="L59">
        <v>6</v>
      </c>
      <c r="M59">
        <v>6</v>
      </c>
    </row>
    <row r="60" spans="1:13" x14ac:dyDescent="0.3">
      <c r="A60" t="s">
        <v>645</v>
      </c>
      <c r="B60" t="s">
        <v>522</v>
      </c>
      <c r="C60">
        <v>7</v>
      </c>
      <c r="D60">
        <v>230.05</v>
      </c>
      <c r="E60">
        <v>126.53</v>
      </c>
      <c r="F60">
        <v>0</v>
      </c>
      <c r="G60">
        <v>1610.35</v>
      </c>
      <c r="H60" s="1">
        <v>46019.441967592589</v>
      </c>
      <c r="I60">
        <v>55</v>
      </c>
      <c r="J60">
        <v>1040</v>
      </c>
      <c r="K60">
        <v>4</v>
      </c>
      <c r="L60">
        <v>11</v>
      </c>
      <c r="M60">
        <v>11</v>
      </c>
    </row>
    <row r="61" spans="1:13" x14ac:dyDescent="0.3">
      <c r="A61" t="s">
        <v>646</v>
      </c>
      <c r="B61" t="s">
        <v>554</v>
      </c>
      <c r="C61">
        <v>9</v>
      </c>
      <c r="D61">
        <v>593.30999999999995</v>
      </c>
      <c r="E61">
        <v>397.52</v>
      </c>
      <c r="F61">
        <v>0</v>
      </c>
      <c r="G61">
        <v>5339.79</v>
      </c>
      <c r="H61" s="1">
        <v>46168.479872685188</v>
      </c>
      <c r="I61">
        <v>58</v>
      </c>
      <c r="J61">
        <v>1030</v>
      </c>
      <c r="K61">
        <v>6</v>
      </c>
      <c r="L61">
        <v>16</v>
      </c>
      <c r="M61">
        <v>16</v>
      </c>
    </row>
    <row r="62" spans="1:13" x14ac:dyDescent="0.3">
      <c r="A62" t="s">
        <v>647</v>
      </c>
      <c r="B62" t="s">
        <v>525</v>
      </c>
      <c r="C62">
        <v>4</v>
      </c>
      <c r="D62">
        <v>636.11</v>
      </c>
      <c r="E62">
        <v>349.86</v>
      </c>
      <c r="F62">
        <v>0</v>
      </c>
      <c r="G62">
        <v>2544.44</v>
      </c>
      <c r="H62" s="1">
        <v>45695.576747685183</v>
      </c>
      <c r="I62">
        <v>17</v>
      </c>
      <c r="J62">
        <v>1060</v>
      </c>
      <c r="K62">
        <v>5</v>
      </c>
      <c r="L62">
        <v>11</v>
      </c>
      <c r="M62">
        <v>11</v>
      </c>
    </row>
    <row r="63" spans="1:13" x14ac:dyDescent="0.3">
      <c r="A63" t="s">
        <v>648</v>
      </c>
      <c r="B63" t="s">
        <v>495</v>
      </c>
      <c r="C63">
        <v>10</v>
      </c>
      <c r="D63">
        <v>593.30999999999995</v>
      </c>
      <c r="E63">
        <v>350.05</v>
      </c>
      <c r="F63">
        <v>0</v>
      </c>
      <c r="G63">
        <v>5933.1</v>
      </c>
      <c r="H63" s="1">
        <v>45966.335590277777</v>
      </c>
      <c r="I63">
        <v>58</v>
      </c>
      <c r="J63">
        <v>1016</v>
      </c>
      <c r="K63">
        <v>3</v>
      </c>
      <c r="L63">
        <v>17</v>
      </c>
      <c r="M63">
        <v>5</v>
      </c>
    </row>
    <row r="64" spans="1:13" x14ac:dyDescent="0.3">
      <c r="A64" t="s">
        <v>649</v>
      </c>
      <c r="B64" t="s">
        <v>527</v>
      </c>
      <c r="C64">
        <v>5</v>
      </c>
      <c r="D64">
        <v>598.88</v>
      </c>
      <c r="E64">
        <v>425.2</v>
      </c>
      <c r="F64">
        <v>0</v>
      </c>
      <c r="G64">
        <v>2994.4</v>
      </c>
      <c r="H64" s="1">
        <v>45759.778715277775</v>
      </c>
      <c r="I64">
        <v>44</v>
      </c>
      <c r="J64">
        <v>1021</v>
      </c>
      <c r="K64">
        <v>1</v>
      </c>
      <c r="L64">
        <v>16</v>
      </c>
      <c r="M64">
        <v>16</v>
      </c>
    </row>
    <row r="65" spans="1:13" x14ac:dyDescent="0.3">
      <c r="A65" t="s">
        <v>650</v>
      </c>
      <c r="B65" t="s">
        <v>570</v>
      </c>
      <c r="C65">
        <v>1</v>
      </c>
      <c r="D65">
        <v>191.04</v>
      </c>
      <c r="E65">
        <v>112.71</v>
      </c>
      <c r="F65">
        <v>0</v>
      </c>
      <c r="G65">
        <v>191.04</v>
      </c>
      <c r="H65" s="1">
        <v>46179.647048611114</v>
      </c>
      <c r="I65">
        <v>37</v>
      </c>
      <c r="J65">
        <v>1054</v>
      </c>
      <c r="K65">
        <v>6</v>
      </c>
      <c r="L65">
        <v>12</v>
      </c>
      <c r="M65">
        <v>20</v>
      </c>
    </row>
    <row r="66" spans="1:13" x14ac:dyDescent="0.3">
      <c r="A66" t="s">
        <v>651</v>
      </c>
      <c r="B66" t="s">
        <v>542</v>
      </c>
      <c r="C66">
        <v>6</v>
      </c>
      <c r="D66">
        <v>886.92</v>
      </c>
      <c r="E66">
        <v>558.76</v>
      </c>
      <c r="F66">
        <v>0</v>
      </c>
      <c r="G66">
        <v>5321.52</v>
      </c>
      <c r="H66" s="1">
        <v>46238.318159722221</v>
      </c>
      <c r="I66">
        <v>14</v>
      </c>
      <c r="J66">
        <v>1025</v>
      </c>
      <c r="K66">
        <v>3</v>
      </c>
      <c r="L66">
        <v>9</v>
      </c>
      <c r="M66">
        <v>13</v>
      </c>
    </row>
    <row r="67" spans="1:13" x14ac:dyDescent="0.3">
      <c r="A67" t="s">
        <v>652</v>
      </c>
      <c r="B67" t="s">
        <v>509</v>
      </c>
      <c r="C67">
        <v>7</v>
      </c>
      <c r="D67">
        <v>234.4</v>
      </c>
      <c r="E67">
        <v>128.91999999999999</v>
      </c>
      <c r="F67">
        <v>0</v>
      </c>
      <c r="G67">
        <v>1640.8</v>
      </c>
      <c r="H67" s="1">
        <v>45710.691111111111</v>
      </c>
      <c r="I67">
        <v>49</v>
      </c>
      <c r="J67">
        <v>1026</v>
      </c>
      <c r="K67">
        <v>3</v>
      </c>
      <c r="L67">
        <v>17</v>
      </c>
      <c r="M67">
        <v>5</v>
      </c>
    </row>
    <row r="68" spans="1:13" x14ac:dyDescent="0.3">
      <c r="A68" t="s">
        <v>653</v>
      </c>
      <c r="B68" t="s">
        <v>559</v>
      </c>
      <c r="C68">
        <v>3</v>
      </c>
      <c r="D68">
        <v>727.47</v>
      </c>
      <c r="E68">
        <v>458.31</v>
      </c>
      <c r="F68">
        <v>0</v>
      </c>
      <c r="G68">
        <v>2182.41</v>
      </c>
      <c r="H68" s="1">
        <v>46284.622152777774</v>
      </c>
      <c r="I68">
        <v>20</v>
      </c>
      <c r="J68">
        <v>1050</v>
      </c>
      <c r="K68">
        <v>4</v>
      </c>
      <c r="L68">
        <v>7</v>
      </c>
      <c r="M68">
        <v>15</v>
      </c>
    </row>
    <row r="69" spans="1:13" x14ac:dyDescent="0.3">
      <c r="A69" t="s">
        <v>654</v>
      </c>
      <c r="B69" t="s">
        <v>556</v>
      </c>
      <c r="C69">
        <v>4</v>
      </c>
      <c r="D69">
        <v>191.04</v>
      </c>
      <c r="E69">
        <v>128</v>
      </c>
      <c r="F69">
        <v>0</v>
      </c>
      <c r="G69">
        <v>764.16</v>
      </c>
      <c r="H69" s="1">
        <v>46221.494895833333</v>
      </c>
      <c r="I69">
        <v>37</v>
      </c>
      <c r="J69">
        <v>1029</v>
      </c>
      <c r="K69">
        <v>13</v>
      </c>
      <c r="L69">
        <v>4</v>
      </c>
      <c r="M69">
        <v>8</v>
      </c>
    </row>
    <row r="70" spans="1:13" x14ac:dyDescent="0.3">
      <c r="A70" t="s">
        <v>655</v>
      </c>
      <c r="B70" t="s">
        <v>525</v>
      </c>
      <c r="C70">
        <v>7</v>
      </c>
      <c r="D70">
        <v>203.17</v>
      </c>
      <c r="E70">
        <v>119.87</v>
      </c>
      <c r="F70">
        <v>0</v>
      </c>
      <c r="G70">
        <v>1422.19</v>
      </c>
      <c r="H70" s="1">
        <v>45695.576747685183</v>
      </c>
      <c r="I70">
        <v>22</v>
      </c>
      <c r="J70">
        <v>1060</v>
      </c>
      <c r="K70">
        <v>5</v>
      </c>
      <c r="L70">
        <v>11</v>
      </c>
      <c r="M70">
        <v>11</v>
      </c>
    </row>
    <row r="71" spans="1:13" x14ac:dyDescent="0.3">
      <c r="A71" t="s">
        <v>656</v>
      </c>
      <c r="B71" t="s">
        <v>554</v>
      </c>
      <c r="C71">
        <v>2</v>
      </c>
      <c r="D71">
        <v>641.44000000000005</v>
      </c>
      <c r="E71">
        <v>429.76</v>
      </c>
      <c r="F71">
        <v>0</v>
      </c>
      <c r="G71">
        <v>1282.8800000000001</v>
      </c>
      <c r="H71" s="1">
        <v>46168.479872685188</v>
      </c>
      <c r="I71">
        <v>51</v>
      </c>
      <c r="J71">
        <v>1030</v>
      </c>
      <c r="K71">
        <v>6</v>
      </c>
      <c r="L71">
        <v>16</v>
      </c>
      <c r="M71">
        <v>16</v>
      </c>
    </row>
    <row r="72" spans="1:13" x14ac:dyDescent="0.3">
      <c r="A72" t="s">
        <v>657</v>
      </c>
      <c r="B72" t="s">
        <v>546</v>
      </c>
      <c r="C72">
        <v>6</v>
      </c>
      <c r="D72">
        <v>274.75</v>
      </c>
      <c r="E72">
        <v>195.07</v>
      </c>
      <c r="F72">
        <v>0</v>
      </c>
      <c r="G72">
        <v>1648.5</v>
      </c>
      <c r="H72" s="1">
        <v>46065.646018518521</v>
      </c>
      <c r="I72">
        <v>33</v>
      </c>
      <c r="J72">
        <v>1033</v>
      </c>
      <c r="K72">
        <v>9</v>
      </c>
      <c r="L72">
        <v>13</v>
      </c>
      <c r="M72">
        <v>9</v>
      </c>
    </row>
    <row r="73" spans="1:13" x14ac:dyDescent="0.3">
      <c r="A73" t="s">
        <v>658</v>
      </c>
      <c r="B73" t="s">
        <v>511</v>
      </c>
      <c r="C73">
        <v>2</v>
      </c>
      <c r="D73">
        <v>655.16999999999996</v>
      </c>
      <c r="E73">
        <v>412.76</v>
      </c>
      <c r="F73">
        <v>0</v>
      </c>
      <c r="G73">
        <v>1310.3399999999999</v>
      </c>
      <c r="H73" s="1">
        <v>45798.765173611115</v>
      </c>
      <c r="I73">
        <v>54</v>
      </c>
      <c r="J73">
        <v>1003</v>
      </c>
      <c r="K73">
        <v>10</v>
      </c>
      <c r="L73">
        <v>18</v>
      </c>
      <c r="M73">
        <v>14</v>
      </c>
    </row>
    <row r="74" spans="1:13" x14ac:dyDescent="0.3">
      <c r="A74" t="s">
        <v>659</v>
      </c>
      <c r="B74" t="s">
        <v>503</v>
      </c>
      <c r="C74">
        <v>10</v>
      </c>
      <c r="D74">
        <v>505.22</v>
      </c>
      <c r="E74">
        <v>358.71</v>
      </c>
      <c r="F74">
        <v>0</v>
      </c>
      <c r="G74">
        <v>5052.2</v>
      </c>
      <c r="H74" s="1">
        <v>45997.463784722226</v>
      </c>
      <c r="I74">
        <v>50</v>
      </c>
      <c r="J74">
        <v>1056</v>
      </c>
      <c r="K74">
        <v>6</v>
      </c>
      <c r="L74">
        <v>20</v>
      </c>
      <c r="M74">
        <v>12</v>
      </c>
    </row>
    <row r="75" spans="1:13" x14ac:dyDescent="0.3">
      <c r="A75" t="s">
        <v>660</v>
      </c>
      <c r="B75" t="s">
        <v>545</v>
      </c>
      <c r="C75">
        <v>7</v>
      </c>
      <c r="D75">
        <v>545.07000000000005</v>
      </c>
      <c r="E75">
        <v>299.79000000000002</v>
      </c>
      <c r="F75">
        <v>0</v>
      </c>
      <c r="G75">
        <v>3815.49</v>
      </c>
      <c r="H75" s="1">
        <v>46221.638159722221</v>
      </c>
      <c r="I75">
        <v>39</v>
      </c>
      <c r="J75">
        <v>1005</v>
      </c>
      <c r="K75">
        <v>13</v>
      </c>
      <c r="L75">
        <v>4</v>
      </c>
      <c r="M75">
        <v>8</v>
      </c>
    </row>
    <row r="76" spans="1:13" x14ac:dyDescent="0.3">
      <c r="A76" t="s">
        <v>661</v>
      </c>
      <c r="B76" t="s">
        <v>574</v>
      </c>
      <c r="C76">
        <v>8</v>
      </c>
      <c r="D76">
        <v>641.44000000000005</v>
      </c>
      <c r="E76">
        <v>429.76</v>
      </c>
      <c r="F76">
        <v>0</v>
      </c>
      <c r="G76">
        <v>5131.5200000000004</v>
      </c>
      <c r="H76" s="1">
        <v>46300.637974537036</v>
      </c>
      <c r="I76">
        <v>51</v>
      </c>
      <c r="J76">
        <v>1057</v>
      </c>
      <c r="K76">
        <v>11</v>
      </c>
      <c r="L76">
        <v>14</v>
      </c>
      <c r="M76">
        <v>18</v>
      </c>
    </row>
    <row r="77" spans="1:13" x14ac:dyDescent="0.3">
      <c r="A77" t="s">
        <v>662</v>
      </c>
      <c r="B77" t="s">
        <v>525</v>
      </c>
      <c r="C77">
        <v>9</v>
      </c>
      <c r="D77">
        <v>583.91999999999996</v>
      </c>
      <c r="E77">
        <v>321.16000000000003</v>
      </c>
      <c r="F77">
        <v>0</v>
      </c>
      <c r="G77">
        <v>5255.28</v>
      </c>
      <c r="H77" s="1">
        <v>45695.576747685183</v>
      </c>
      <c r="I77">
        <v>23</v>
      </c>
      <c r="J77">
        <v>1060</v>
      </c>
      <c r="K77">
        <v>5</v>
      </c>
      <c r="L77">
        <v>11</v>
      </c>
      <c r="M77">
        <v>11</v>
      </c>
    </row>
    <row r="78" spans="1:13" x14ac:dyDescent="0.3">
      <c r="A78" t="s">
        <v>663</v>
      </c>
      <c r="B78" t="s">
        <v>557</v>
      </c>
      <c r="C78">
        <v>7</v>
      </c>
      <c r="D78">
        <v>394.16</v>
      </c>
      <c r="E78">
        <v>232.55</v>
      </c>
      <c r="F78">
        <v>0</v>
      </c>
      <c r="G78">
        <v>2759.12</v>
      </c>
      <c r="H78" s="1">
        <v>46250.676921296297</v>
      </c>
      <c r="I78">
        <v>25</v>
      </c>
      <c r="J78">
        <v>1017</v>
      </c>
      <c r="K78">
        <v>10</v>
      </c>
      <c r="L78">
        <v>6</v>
      </c>
      <c r="M78">
        <v>6</v>
      </c>
    </row>
    <row r="79" spans="1:13" x14ac:dyDescent="0.3">
      <c r="A79" t="s">
        <v>664</v>
      </c>
      <c r="B79" t="s">
        <v>502</v>
      </c>
      <c r="C79">
        <v>10</v>
      </c>
      <c r="D79">
        <v>105.46</v>
      </c>
      <c r="E79">
        <v>74.88</v>
      </c>
      <c r="F79">
        <v>0</v>
      </c>
      <c r="G79">
        <v>1054.5999999999999</v>
      </c>
      <c r="H79" s="1">
        <v>45782.451481481483</v>
      </c>
      <c r="I79">
        <v>8</v>
      </c>
      <c r="J79">
        <v>1015</v>
      </c>
      <c r="K79">
        <v>5</v>
      </c>
      <c r="L79">
        <v>11</v>
      </c>
      <c r="M79">
        <v>11</v>
      </c>
    </row>
    <row r="80" spans="1:13" x14ac:dyDescent="0.3">
      <c r="A80" t="s">
        <v>665</v>
      </c>
      <c r="B80" t="s">
        <v>513</v>
      </c>
      <c r="C80">
        <v>2</v>
      </c>
      <c r="D80">
        <v>837.09</v>
      </c>
      <c r="E80">
        <v>493.88</v>
      </c>
      <c r="F80">
        <v>0</v>
      </c>
      <c r="G80">
        <v>1674.18</v>
      </c>
      <c r="H80" s="1">
        <v>45990.729548611111</v>
      </c>
      <c r="I80">
        <v>46</v>
      </c>
      <c r="J80">
        <v>1036</v>
      </c>
      <c r="K80">
        <v>7</v>
      </c>
      <c r="L80">
        <v>14</v>
      </c>
      <c r="M80">
        <v>18</v>
      </c>
    </row>
    <row r="81" spans="1:13" x14ac:dyDescent="0.3">
      <c r="A81" t="s">
        <v>666</v>
      </c>
      <c r="B81" t="s">
        <v>554</v>
      </c>
      <c r="C81">
        <v>5</v>
      </c>
      <c r="D81">
        <v>105.46</v>
      </c>
      <c r="E81">
        <v>66.44</v>
      </c>
      <c r="F81">
        <v>0</v>
      </c>
      <c r="G81">
        <v>527.29999999999995</v>
      </c>
      <c r="H81" s="1">
        <v>46168.479872685188</v>
      </c>
      <c r="I81">
        <v>8</v>
      </c>
      <c r="J81">
        <v>1030</v>
      </c>
      <c r="K81">
        <v>6</v>
      </c>
      <c r="L81">
        <v>16</v>
      </c>
      <c r="M81">
        <v>16</v>
      </c>
    </row>
    <row r="82" spans="1:13" x14ac:dyDescent="0.3">
      <c r="A82" t="s">
        <v>667</v>
      </c>
      <c r="B82" t="s">
        <v>501</v>
      </c>
      <c r="C82">
        <v>7</v>
      </c>
      <c r="D82">
        <v>345.48</v>
      </c>
      <c r="E82">
        <v>190.01</v>
      </c>
      <c r="F82">
        <v>0</v>
      </c>
      <c r="G82">
        <v>2418.36</v>
      </c>
      <c r="H82" s="1">
        <v>45798.641261574077</v>
      </c>
      <c r="I82">
        <v>48</v>
      </c>
      <c r="J82">
        <v>1037</v>
      </c>
      <c r="K82">
        <v>6</v>
      </c>
      <c r="L82">
        <v>16</v>
      </c>
      <c r="M82">
        <v>16</v>
      </c>
    </row>
    <row r="83" spans="1:13" x14ac:dyDescent="0.3">
      <c r="A83" t="s">
        <v>668</v>
      </c>
      <c r="B83" t="s">
        <v>527</v>
      </c>
      <c r="C83">
        <v>2</v>
      </c>
      <c r="D83">
        <v>319.39999999999998</v>
      </c>
      <c r="E83">
        <v>201.22</v>
      </c>
      <c r="F83">
        <v>0</v>
      </c>
      <c r="G83">
        <v>638.79999999999995</v>
      </c>
      <c r="H83" s="1">
        <v>45759.778715277775</v>
      </c>
      <c r="I83">
        <v>9</v>
      </c>
      <c r="J83">
        <v>1021</v>
      </c>
      <c r="K83">
        <v>1</v>
      </c>
      <c r="L83">
        <v>16</v>
      </c>
      <c r="M83">
        <v>16</v>
      </c>
    </row>
    <row r="84" spans="1:13" x14ac:dyDescent="0.3">
      <c r="A84" t="s">
        <v>669</v>
      </c>
      <c r="B84" t="s">
        <v>530</v>
      </c>
      <c r="C84">
        <v>5</v>
      </c>
      <c r="D84">
        <v>220.9</v>
      </c>
      <c r="E84">
        <v>148</v>
      </c>
      <c r="F84">
        <v>0</v>
      </c>
      <c r="G84">
        <v>1104.5</v>
      </c>
      <c r="H84" s="1">
        <v>45770.56758101852</v>
      </c>
      <c r="I84">
        <v>1</v>
      </c>
      <c r="J84">
        <v>1044</v>
      </c>
      <c r="K84">
        <v>8</v>
      </c>
      <c r="L84">
        <v>19</v>
      </c>
      <c r="M84">
        <v>3</v>
      </c>
    </row>
    <row r="85" spans="1:13" x14ac:dyDescent="0.3">
      <c r="A85" t="s">
        <v>670</v>
      </c>
      <c r="B85" t="s">
        <v>547</v>
      </c>
      <c r="C85">
        <v>3</v>
      </c>
      <c r="D85">
        <v>319.39999999999998</v>
      </c>
      <c r="E85">
        <v>188.45</v>
      </c>
      <c r="F85">
        <v>0</v>
      </c>
      <c r="G85">
        <v>958.2</v>
      </c>
      <c r="H85" s="1">
        <v>46035.619155092594</v>
      </c>
      <c r="I85">
        <v>9</v>
      </c>
      <c r="J85">
        <v>1037</v>
      </c>
      <c r="K85">
        <v>7</v>
      </c>
      <c r="L85">
        <v>18</v>
      </c>
      <c r="M85">
        <v>14</v>
      </c>
    </row>
    <row r="86" spans="1:13" x14ac:dyDescent="0.3">
      <c r="A86" t="s">
        <v>671</v>
      </c>
      <c r="B86" t="s">
        <v>538</v>
      </c>
      <c r="C86">
        <v>8</v>
      </c>
      <c r="D86">
        <v>156.58000000000001</v>
      </c>
      <c r="E86">
        <v>104.91</v>
      </c>
      <c r="F86">
        <v>0</v>
      </c>
      <c r="G86">
        <v>1252.6400000000001</v>
      </c>
      <c r="H86" s="1">
        <v>46206.319814814815</v>
      </c>
      <c r="I86">
        <v>28</v>
      </c>
      <c r="J86">
        <v>1039</v>
      </c>
      <c r="K86">
        <v>13</v>
      </c>
      <c r="L86">
        <v>4</v>
      </c>
      <c r="M86">
        <v>8</v>
      </c>
    </row>
    <row r="87" spans="1:13" x14ac:dyDescent="0.3">
      <c r="A87" t="s">
        <v>672</v>
      </c>
      <c r="B87" t="s">
        <v>544</v>
      </c>
      <c r="C87">
        <v>9</v>
      </c>
      <c r="D87">
        <v>568.39</v>
      </c>
      <c r="E87">
        <v>403.56</v>
      </c>
      <c r="F87">
        <v>0</v>
      </c>
      <c r="G87">
        <v>5115.51</v>
      </c>
      <c r="H87" s="1">
        <v>46301.367789351854</v>
      </c>
      <c r="I87">
        <v>36</v>
      </c>
      <c r="J87">
        <v>1043</v>
      </c>
      <c r="K87">
        <v>6</v>
      </c>
      <c r="L87">
        <v>12</v>
      </c>
      <c r="M87">
        <v>20</v>
      </c>
    </row>
    <row r="88" spans="1:13" x14ac:dyDescent="0.3">
      <c r="A88" t="s">
        <v>673</v>
      </c>
      <c r="B88" t="s">
        <v>559</v>
      </c>
      <c r="C88">
        <v>6</v>
      </c>
      <c r="D88">
        <v>105.46</v>
      </c>
      <c r="E88">
        <v>66.44</v>
      </c>
      <c r="F88">
        <v>0</v>
      </c>
      <c r="G88">
        <v>632.76</v>
      </c>
      <c r="H88" s="1">
        <v>46284.622152777774</v>
      </c>
      <c r="I88">
        <v>8</v>
      </c>
      <c r="J88">
        <v>1050</v>
      </c>
      <c r="K88">
        <v>4</v>
      </c>
      <c r="L88">
        <v>7</v>
      </c>
      <c r="M88">
        <v>15</v>
      </c>
    </row>
    <row r="89" spans="1:13" x14ac:dyDescent="0.3">
      <c r="A89" t="s">
        <v>674</v>
      </c>
      <c r="B89" t="s">
        <v>528</v>
      </c>
      <c r="C89">
        <v>10</v>
      </c>
      <c r="D89">
        <v>545.07000000000005</v>
      </c>
      <c r="E89">
        <v>387</v>
      </c>
      <c r="F89">
        <v>0</v>
      </c>
      <c r="G89">
        <v>5450.7</v>
      </c>
      <c r="H89" s="1">
        <v>45739.302928240744</v>
      </c>
      <c r="I89">
        <v>39</v>
      </c>
      <c r="J89">
        <v>1058</v>
      </c>
      <c r="K89">
        <v>2</v>
      </c>
      <c r="L89">
        <v>10</v>
      </c>
      <c r="M89">
        <v>2</v>
      </c>
    </row>
    <row r="90" spans="1:13" x14ac:dyDescent="0.3">
      <c r="A90" t="s">
        <v>675</v>
      </c>
      <c r="B90" t="s">
        <v>551</v>
      </c>
      <c r="C90">
        <v>6</v>
      </c>
      <c r="D90">
        <v>641.44000000000005</v>
      </c>
      <c r="E90">
        <v>352.79</v>
      </c>
      <c r="F90">
        <v>0</v>
      </c>
      <c r="G90">
        <v>3848.64</v>
      </c>
      <c r="H90" s="1">
        <v>46148.643622685187</v>
      </c>
      <c r="I90">
        <v>51</v>
      </c>
      <c r="J90">
        <v>1046</v>
      </c>
      <c r="K90">
        <v>9</v>
      </c>
      <c r="L90">
        <v>5</v>
      </c>
      <c r="M90">
        <v>17</v>
      </c>
    </row>
    <row r="91" spans="1:13" x14ac:dyDescent="0.3">
      <c r="A91" t="s">
        <v>676</v>
      </c>
      <c r="B91" t="s">
        <v>512</v>
      </c>
      <c r="C91">
        <v>7</v>
      </c>
      <c r="D91">
        <v>683.87</v>
      </c>
      <c r="E91">
        <v>458.19</v>
      </c>
      <c r="F91">
        <v>0</v>
      </c>
      <c r="G91">
        <v>4787.09</v>
      </c>
      <c r="H91" s="1">
        <v>45853.311342592591</v>
      </c>
      <c r="I91">
        <v>27</v>
      </c>
      <c r="J91">
        <v>1008</v>
      </c>
      <c r="K91">
        <v>6</v>
      </c>
      <c r="L91">
        <v>20</v>
      </c>
      <c r="M91">
        <v>12</v>
      </c>
    </row>
    <row r="92" spans="1:13" x14ac:dyDescent="0.3">
      <c r="A92" t="s">
        <v>677</v>
      </c>
      <c r="B92" t="s">
        <v>525</v>
      </c>
      <c r="C92">
        <v>9</v>
      </c>
      <c r="D92">
        <v>645.96</v>
      </c>
      <c r="E92">
        <v>355.28</v>
      </c>
      <c r="F92">
        <v>0</v>
      </c>
      <c r="G92">
        <v>5813.64</v>
      </c>
      <c r="H92" s="1">
        <v>45695.576747685183</v>
      </c>
      <c r="I92">
        <v>47</v>
      </c>
      <c r="J92">
        <v>1060</v>
      </c>
      <c r="K92">
        <v>5</v>
      </c>
      <c r="L92">
        <v>11</v>
      </c>
      <c r="M92">
        <v>11</v>
      </c>
    </row>
    <row r="93" spans="1:13" x14ac:dyDescent="0.3">
      <c r="A93" t="s">
        <v>678</v>
      </c>
      <c r="B93" t="s">
        <v>506</v>
      </c>
      <c r="C93">
        <v>4</v>
      </c>
      <c r="D93">
        <v>593.30999999999995</v>
      </c>
      <c r="E93">
        <v>350.05</v>
      </c>
      <c r="F93">
        <v>0</v>
      </c>
      <c r="G93">
        <v>2373.2399999999998</v>
      </c>
      <c r="H93" s="1">
        <v>45733.591631944444</v>
      </c>
      <c r="I93">
        <v>58</v>
      </c>
      <c r="J93">
        <v>1055</v>
      </c>
      <c r="K93">
        <v>9</v>
      </c>
      <c r="L93">
        <v>17</v>
      </c>
      <c r="M93">
        <v>5</v>
      </c>
    </row>
    <row r="94" spans="1:13" x14ac:dyDescent="0.3">
      <c r="A94" t="s">
        <v>679</v>
      </c>
      <c r="B94" t="s">
        <v>560</v>
      </c>
      <c r="C94">
        <v>3</v>
      </c>
      <c r="D94">
        <v>76.56</v>
      </c>
      <c r="E94">
        <v>54.36</v>
      </c>
      <c r="F94">
        <v>0</v>
      </c>
      <c r="G94">
        <v>229.68</v>
      </c>
      <c r="H94" s="1">
        <v>46209.499710648146</v>
      </c>
      <c r="I94">
        <v>13</v>
      </c>
      <c r="J94">
        <v>1013</v>
      </c>
      <c r="K94">
        <v>13</v>
      </c>
      <c r="L94">
        <v>16</v>
      </c>
      <c r="M94">
        <v>16</v>
      </c>
    </row>
    <row r="95" spans="1:13" x14ac:dyDescent="0.3">
      <c r="A95" t="s">
        <v>680</v>
      </c>
      <c r="B95" t="s">
        <v>502</v>
      </c>
      <c r="C95">
        <v>8</v>
      </c>
      <c r="D95">
        <v>624.02</v>
      </c>
      <c r="E95">
        <v>368.17</v>
      </c>
      <c r="F95">
        <v>0</v>
      </c>
      <c r="G95">
        <v>4992.16</v>
      </c>
      <c r="H95" s="1">
        <v>45782.451481481483</v>
      </c>
      <c r="I95">
        <v>3</v>
      </c>
      <c r="J95">
        <v>1015</v>
      </c>
      <c r="K95">
        <v>5</v>
      </c>
      <c r="L95">
        <v>11</v>
      </c>
      <c r="M95">
        <v>11</v>
      </c>
    </row>
    <row r="96" spans="1:13" x14ac:dyDescent="0.3">
      <c r="A96" t="s">
        <v>681</v>
      </c>
      <c r="B96" t="s">
        <v>564</v>
      </c>
      <c r="C96">
        <v>2</v>
      </c>
      <c r="D96">
        <v>798.62</v>
      </c>
      <c r="E96">
        <v>503.13</v>
      </c>
      <c r="F96">
        <v>0</v>
      </c>
      <c r="G96">
        <v>1597.24</v>
      </c>
      <c r="H96" s="1">
        <v>46073.564120370371</v>
      </c>
      <c r="I96">
        <v>12</v>
      </c>
      <c r="J96">
        <v>1058</v>
      </c>
      <c r="K96">
        <v>4</v>
      </c>
      <c r="L96">
        <v>19</v>
      </c>
      <c r="M96">
        <v>3</v>
      </c>
    </row>
    <row r="97" spans="1:13" x14ac:dyDescent="0.3">
      <c r="A97" t="s">
        <v>682</v>
      </c>
      <c r="B97" t="s">
        <v>534</v>
      </c>
      <c r="C97">
        <v>8</v>
      </c>
      <c r="D97">
        <v>727.47</v>
      </c>
      <c r="E97">
        <v>400.11</v>
      </c>
      <c r="F97">
        <v>0</v>
      </c>
      <c r="G97">
        <v>5819.76</v>
      </c>
      <c r="H97" s="1">
        <v>45821.571898148148</v>
      </c>
      <c r="I97">
        <v>20</v>
      </c>
      <c r="J97">
        <v>1020</v>
      </c>
      <c r="K97">
        <v>12</v>
      </c>
      <c r="L97">
        <v>20</v>
      </c>
      <c r="M97">
        <v>12</v>
      </c>
    </row>
    <row r="98" spans="1:13" x14ac:dyDescent="0.3">
      <c r="A98" t="s">
        <v>683</v>
      </c>
      <c r="B98" t="s">
        <v>547</v>
      </c>
      <c r="C98">
        <v>5</v>
      </c>
      <c r="D98">
        <v>674.32</v>
      </c>
      <c r="E98">
        <v>424.82</v>
      </c>
      <c r="F98">
        <v>0</v>
      </c>
      <c r="G98">
        <v>3371.6</v>
      </c>
      <c r="H98" s="1">
        <v>46035.619155092594</v>
      </c>
      <c r="I98">
        <v>24</v>
      </c>
      <c r="J98">
        <v>1037</v>
      </c>
      <c r="K98">
        <v>7</v>
      </c>
      <c r="L98">
        <v>18</v>
      </c>
      <c r="M98">
        <v>14</v>
      </c>
    </row>
    <row r="99" spans="1:13" x14ac:dyDescent="0.3">
      <c r="A99" t="s">
        <v>684</v>
      </c>
      <c r="B99" t="s">
        <v>574</v>
      </c>
      <c r="C99">
        <v>8</v>
      </c>
      <c r="D99">
        <v>576.96</v>
      </c>
      <c r="E99">
        <v>386.56</v>
      </c>
      <c r="F99">
        <v>0</v>
      </c>
      <c r="G99">
        <v>4615.68</v>
      </c>
      <c r="H99" s="1">
        <v>46300.637974537036</v>
      </c>
      <c r="I99">
        <v>18</v>
      </c>
      <c r="J99">
        <v>1057</v>
      </c>
      <c r="K99">
        <v>11</v>
      </c>
      <c r="L99">
        <v>14</v>
      </c>
      <c r="M99">
        <v>18</v>
      </c>
    </row>
    <row r="100" spans="1:13" x14ac:dyDescent="0.3">
      <c r="A100" t="s">
        <v>685</v>
      </c>
      <c r="B100" t="s">
        <v>545</v>
      </c>
      <c r="C100">
        <v>3</v>
      </c>
      <c r="D100">
        <v>319.39999999999998</v>
      </c>
      <c r="E100">
        <v>188.45</v>
      </c>
      <c r="F100">
        <v>0</v>
      </c>
      <c r="G100">
        <v>958.2</v>
      </c>
      <c r="H100" s="1">
        <v>46221.638159722221</v>
      </c>
      <c r="I100">
        <v>9</v>
      </c>
      <c r="J100">
        <v>1005</v>
      </c>
      <c r="K100">
        <v>13</v>
      </c>
      <c r="L100">
        <v>4</v>
      </c>
      <c r="M100">
        <v>8</v>
      </c>
    </row>
    <row r="101" spans="1:13" x14ac:dyDescent="0.3">
      <c r="A101" t="s">
        <v>686</v>
      </c>
      <c r="B101" t="s">
        <v>574</v>
      </c>
      <c r="C101">
        <v>6</v>
      </c>
      <c r="D101">
        <v>897.63</v>
      </c>
      <c r="E101">
        <v>601.41</v>
      </c>
      <c r="F101">
        <v>0</v>
      </c>
      <c r="G101">
        <v>5385.78</v>
      </c>
      <c r="H101" s="1">
        <v>46300.637974537036</v>
      </c>
      <c r="I101">
        <v>26</v>
      </c>
      <c r="J101">
        <v>1057</v>
      </c>
      <c r="K101">
        <v>11</v>
      </c>
      <c r="L101">
        <v>14</v>
      </c>
      <c r="M101">
        <v>18</v>
      </c>
    </row>
    <row r="102" spans="1:13" x14ac:dyDescent="0.3">
      <c r="A102" t="s">
        <v>687</v>
      </c>
      <c r="B102" t="s">
        <v>498</v>
      </c>
      <c r="C102">
        <v>10</v>
      </c>
      <c r="D102">
        <v>655.16999999999996</v>
      </c>
      <c r="E102">
        <v>465.17</v>
      </c>
      <c r="F102">
        <v>0</v>
      </c>
      <c r="G102">
        <v>6551.7</v>
      </c>
      <c r="H102" s="1">
        <v>45753.653587962966</v>
      </c>
      <c r="I102">
        <v>54</v>
      </c>
      <c r="J102">
        <v>1035</v>
      </c>
      <c r="K102">
        <v>9</v>
      </c>
      <c r="L102">
        <v>13</v>
      </c>
      <c r="M102">
        <v>9</v>
      </c>
    </row>
    <row r="103" spans="1:13" x14ac:dyDescent="0.3">
      <c r="A103" t="s">
        <v>688</v>
      </c>
      <c r="B103" t="s">
        <v>514</v>
      </c>
      <c r="C103">
        <v>7</v>
      </c>
      <c r="D103">
        <v>858.85</v>
      </c>
      <c r="E103">
        <v>609.78</v>
      </c>
      <c r="F103">
        <v>0.15</v>
      </c>
      <c r="G103">
        <v>6011.95</v>
      </c>
      <c r="H103" s="1">
        <v>46020.742997685185</v>
      </c>
      <c r="I103">
        <v>38</v>
      </c>
      <c r="J103">
        <v>1035</v>
      </c>
      <c r="K103">
        <v>3</v>
      </c>
      <c r="L103">
        <v>1</v>
      </c>
      <c r="M103">
        <v>1</v>
      </c>
    </row>
    <row r="104" spans="1:13" x14ac:dyDescent="0.3">
      <c r="A104" t="s">
        <v>689</v>
      </c>
      <c r="B104" t="s">
        <v>550</v>
      </c>
      <c r="C104">
        <v>5</v>
      </c>
      <c r="D104">
        <v>686.54</v>
      </c>
      <c r="E104">
        <v>405.06</v>
      </c>
      <c r="F104">
        <v>0.05</v>
      </c>
      <c r="G104">
        <v>3432.7</v>
      </c>
      <c r="H104" s="1">
        <v>46114.443958333337</v>
      </c>
      <c r="I104">
        <v>6</v>
      </c>
      <c r="J104">
        <v>1046</v>
      </c>
      <c r="K104">
        <v>10</v>
      </c>
      <c r="L104">
        <v>10</v>
      </c>
      <c r="M104">
        <v>2</v>
      </c>
    </row>
    <row r="105" spans="1:13" x14ac:dyDescent="0.3">
      <c r="A105" t="s">
        <v>690</v>
      </c>
      <c r="B105" t="s">
        <v>571</v>
      </c>
      <c r="C105">
        <v>7</v>
      </c>
      <c r="D105">
        <v>226.92</v>
      </c>
      <c r="E105">
        <v>142.96</v>
      </c>
      <c r="F105">
        <v>0.05</v>
      </c>
      <c r="G105">
        <v>1588.44</v>
      </c>
      <c r="H105" s="1">
        <v>46105.373773148145</v>
      </c>
      <c r="I105">
        <v>41</v>
      </c>
      <c r="J105">
        <v>1054</v>
      </c>
      <c r="K105">
        <v>2</v>
      </c>
      <c r="L105">
        <v>2</v>
      </c>
      <c r="M105">
        <v>10</v>
      </c>
    </row>
    <row r="106" spans="1:13" x14ac:dyDescent="0.3">
      <c r="A106" t="s">
        <v>691</v>
      </c>
      <c r="B106" t="s">
        <v>520</v>
      </c>
      <c r="C106">
        <v>1</v>
      </c>
      <c r="D106">
        <v>84.7</v>
      </c>
      <c r="E106">
        <v>60.14</v>
      </c>
      <c r="F106">
        <v>0.05</v>
      </c>
      <c r="G106">
        <v>84.7</v>
      </c>
      <c r="H106" s="1">
        <v>45912.303055555552</v>
      </c>
      <c r="I106">
        <v>42</v>
      </c>
      <c r="J106">
        <v>1021</v>
      </c>
      <c r="K106">
        <v>10</v>
      </c>
      <c r="L106">
        <v>6</v>
      </c>
      <c r="M106">
        <v>6</v>
      </c>
    </row>
    <row r="107" spans="1:13" x14ac:dyDescent="0.3">
      <c r="A107" t="s">
        <v>692</v>
      </c>
      <c r="B107" t="s">
        <v>539</v>
      </c>
      <c r="C107">
        <v>7</v>
      </c>
      <c r="D107">
        <v>84.7</v>
      </c>
      <c r="E107">
        <v>46.59</v>
      </c>
      <c r="F107">
        <v>0.15</v>
      </c>
      <c r="G107">
        <v>592.9</v>
      </c>
      <c r="H107" s="1">
        <v>46141.786898148152</v>
      </c>
      <c r="I107">
        <v>42</v>
      </c>
      <c r="J107">
        <v>1059</v>
      </c>
      <c r="K107">
        <v>5</v>
      </c>
      <c r="L107">
        <v>3</v>
      </c>
      <c r="M107">
        <v>19</v>
      </c>
    </row>
    <row r="108" spans="1:13" x14ac:dyDescent="0.3">
      <c r="A108" t="s">
        <v>693</v>
      </c>
      <c r="B108" t="s">
        <v>531</v>
      </c>
      <c r="C108">
        <v>6</v>
      </c>
      <c r="D108">
        <v>84.7</v>
      </c>
      <c r="E108">
        <v>46.59</v>
      </c>
      <c r="F108">
        <v>0.15</v>
      </c>
      <c r="G108">
        <v>508.2</v>
      </c>
      <c r="H108" s="1">
        <v>45903.419236111113</v>
      </c>
      <c r="I108">
        <v>42</v>
      </c>
      <c r="J108">
        <v>1038</v>
      </c>
      <c r="K108">
        <v>8</v>
      </c>
      <c r="L108">
        <v>3</v>
      </c>
      <c r="M108">
        <v>19</v>
      </c>
    </row>
    <row r="109" spans="1:13" x14ac:dyDescent="0.3">
      <c r="A109" t="s">
        <v>694</v>
      </c>
      <c r="B109" t="s">
        <v>525</v>
      </c>
      <c r="C109">
        <v>6</v>
      </c>
      <c r="D109">
        <v>645.96</v>
      </c>
      <c r="E109">
        <v>458.63</v>
      </c>
      <c r="F109">
        <v>0.1</v>
      </c>
      <c r="G109">
        <v>3875.76</v>
      </c>
      <c r="H109" s="1">
        <v>45695.576747685183</v>
      </c>
      <c r="I109">
        <v>47</v>
      </c>
      <c r="J109">
        <v>1060</v>
      </c>
      <c r="K109">
        <v>5</v>
      </c>
      <c r="L109">
        <v>11</v>
      </c>
      <c r="M109">
        <v>11</v>
      </c>
    </row>
    <row r="110" spans="1:13" x14ac:dyDescent="0.3">
      <c r="A110" t="s">
        <v>695</v>
      </c>
      <c r="B110" t="s">
        <v>512</v>
      </c>
      <c r="C110">
        <v>3</v>
      </c>
      <c r="D110">
        <v>345.48</v>
      </c>
      <c r="E110">
        <v>203.83</v>
      </c>
      <c r="F110">
        <v>0.05</v>
      </c>
      <c r="G110">
        <v>1036.44</v>
      </c>
      <c r="H110" s="1">
        <v>45853.311342592591</v>
      </c>
      <c r="I110">
        <v>48</v>
      </c>
      <c r="J110">
        <v>1008</v>
      </c>
      <c r="K110">
        <v>6</v>
      </c>
      <c r="L110">
        <v>20</v>
      </c>
      <c r="M110">
        <v>12</v>
      </c>
    </row>
    <row r="111" spans="1:13" x14ac:dyDescent="0.3">
      <c r="A111" t="s">
        <v>696</v>
      </c>
      <c r="B111" t="s">
        <v>519</v>
      </c>
      <c r="C111">
        <v>9</v>
      </c>
      <c r="D111">
        <v>645.96</v>
      </c>
      <c r="E111">
        <v>381.12</v>
      </c>
      <c r="F111">
        <v>0.15</v>
      </c>
      <c r="G111">
        <v>5813.64</v>
      </c>
      <c r="H111" s="1">
        <v>45855.796770833331</v>
      </c>
      <c r="I111">
        <v>47</v>
      </c>
      <c r="J111">
        <v>1018</v>
      </c>
      <c r="K111">
        <v>3</v>
      </c>
      <c r="L111">
        <v>5</v>
      </c>
      <c r="M111">
        <v>17</v>
      </c>
    </row>
    <row r="112" spans="1:13" x14ac:dyDescent="0.3">
      <c r="A112" t="s">
        <v>697</v>
      </c>
      <c r="B112" t="s">
        <v>511</v>
      </c>
      <c r="C112">
        <v>8</v>
      </c>
      <c r="D112">
        <v>42.8</v>
      </c>
      <c r="E112">
        <v>23.54</v>
      </c>
      <c r="F112">
        <v>0.05</v>
      </c>
      <c r="G112">
        <v>342.4</v>
      </c>
      <c r="H112" s="1">
        <v>45798.765173611115</v>
      </c>
      <c r="I112">
        <v>52</v>
      </c>
      <c r="J112">
        <v>1003</v>
      </c>
      <c r="K112">
        <v>10</v>
      </c>
      <c r="L112">
        <v>18</v>
      </c>
      <c r="M112">
        <v>14</v>
      </c>
    </row>
    <row r="113" spans="1:13" x14ac:dyDescent="0.3">
      <c r="A113" t="s">
        <v>698</v>
      </c>
      <c r="B113" t="s">
        <v>543</v>
      </c>
      <c r="C113">
        <v>8</v>
      </c>
      <c r="D113">
        <v>42.8</v>
      </c>
      <c r="E113">
        <v>30.39</v>
      </c>
      <c r="F113">
        <v>0.05</v>
      </c>
      <c r="G113">
        <v>342.4</v>
      </c>
      <c r="H113" s="1">
        <v>46126.304305555554</v>
      </c>
      <c r="I113">
        <v>52</v>
      </c>
      <c r="J113">
        <v>1005</v>
      </c>
      <c r="K113">
        <v>7</v>
      </c>
      <c r="L113">
        <v>6</v>
      </c>
      <c r="M113">
        <v>6</v>
      </c>
    </row>
    <row r="114" spans="1:13" x14ac:dyDescent="0.3">
      <c r="A114" t="s">
        <v>699</v>
      </c>
      <c r="B114" t="s">
        <v>495</v>
      </c>
      <c r="C114">
        <v>4</v>
      </c>
      <c r="D114">
        <v>655.16999999999996</v>
      </c>
      <c r="E114">
        <v>360.34</v>
      </c>
      <c r="F114">
        <v>0.05</v>
      </c>
      <c r="G114">
        <v>2620.6799999999998</v>
      </c>
      <c r="H114" s="1">
        <v>45966.335590277777</v>
      </c>
      <c r="I114">
        <v>54</v>
      </c>
      <c r="J114">
        <v>1016</v>
      </c>
      <c r="K114">
        <v>3</v>
      </c>
      <c r="L114">
        <v>17</v>
      </c>
      <c r="M114">
        <v>5</v>
      </c>
    </row>
    <row r="115" spans="1:13" x14ac:dyDescent="0.3">
      <c r="A115" t="s">
        <v>700</v>
      </c>
      <c r="B115" t="s">
        <v>536</v>
      </c>
      <c r="C115">
        <v>8</v>
      </c>
      <c r="D115">
        <v>568.39</v>
      </c>
      <c r="E115">
        <v>380.82</v>
      </c>
      <c r="F115">
        <v>0.1</v>
      </c>
      <c r="G115">
        <v>4547.12</v>
      </c>
      <c r="H115" s="1">
        <v>46063.641145833331</v>
      </c>
      <c r="I115">
        <v>36</v>
      </c>
      <c r="J115">
        <v>1004</v>
      </c>
      <c r="K115">
        <v>9</v>
      </c>
      <c r="L115">
        <v>9</v>
      </c>
      <c r="M115">
        <v>13</v>
      </c>
    </row>
    <row r="116" spans="1:13" x14ac:dyDescent="0.3">
      <c r="A116" t="s">
        <v>701</v>
      </c>
      <c r="B116" t="s">
        <v>498</v>
      </c>
      <c r="C116">
        <v>4</v>
      </c>
      <c r="D116">
        <v>158.94999999999999</v>
      </c>
      <c r="E116">
        <v>87.42</v>
      </c>
      <c r="F116">
        <v>0.15</v>
      </c>
      <c r="G116">
        <v>635.79999999999995</v>
      </c>
      <c r="H116" s="1">
        <v>45753.653587962966</v>
      </c>
      <c r="I116">
        <v>16</v>
      </c>
      <c r="J116">
        <v>1035</v>
      </c>
      <c r="K116">
        <v>9</v>
      </c>
      <c r="L116">
        <v>13</v>
      </c>
      <c r="M116">
        <v>9</v>
      </c>
    </row>
    <row r="117" spans="1:13" x14ac:dyDescent="0.3">
      <c r="A117" t="s">
        <v>702</v>
      </c>
      <c r="B117" t="s">
        <v>568</v>
      </c>
      <c r="C117">
        <v>8</v>
      </c>
      <c r="D117">
        <v>158.94999999999999</v>
      </c>
      <c r="E117">
        <v>100.14</v>
      </c>
      <c r="F117">
        <v>0.05</v>
      </c>
      <c r="G117">
        <v>1271.5999999999999</v>
      </c>
      <c r="H117" s="1">
        <v>46118.613576388889</v>
      </c>
      <c r="I117">
        <v>16</v>
      </c>
      <c r="J117">
        <v>1005</v>
      </c>
      <c r="K117">
        <v>13</v>
      </c>
      <c r="L117">
        <v>12</v>
      </c>
      <c r="M117">
        <v>20</v>
      </c>
    </row>
    <row r="118" spans="1:13" x14ac:dyDescent="0.3">
      <c r="A118" t="s">
        <v>703</v>
      </c>
      <c r="B118" t="s">
        <v>507</v>
      </c>
      <c r="C118">
        <v>6</v>
      </c>
      <c r="D118">
        <v>158.94999999999999</v>
      </c>
      <c r="E118">
        <v>106.5</v>
      </c>
      <c r="F118">
        <v>0.1</v>
      </c>
      <c r="G118">
        <v>953.7</v>
      </c>
      <c r="H118" s="1">
        <v>45714.356354166666</v>
      </c>
      <c r="I118">
        <v>16</v>
      </c>
      <c r="J118">
        <v>1059</v>
      </c>
      <c r="K118">
        <v>4</v>
      </c>
      <c r="L118">
        <v>19</v>
      </c>
      <c r="M118">
        <v>3</v>
      </c>
    </row>
    <row r="119" spans="1:13" x14ac:dyDescent="0.3">
      <c r="A119" t="s">
        <v>704</v>
      </c>
      <c r="B119" t="s">
        <v>506</v>
      </c>
      <c r="C119">
        <v>10</v>
      </c>
      <c r="D119">
        <v>394.16</v>
      </c>
      <c r="E119">
        <v>248.32</v>
      </c>
      <c r="F119">
        <v>0.1</v>
      </c>
      <c r="G119">
        <v>3941.6</v>
      </c>
      <c r="H119" s="1">
        <v>45733.591631944444</v>
      </c>
      <c r="I119">
        <v>25</v>
      </c>
      <c r="J119">
        <v>1055</v>
      </c>
      <c r="K119">
        <v>9</v>
      </c>
      <c r="L119">
        <v>17</v>
      </c>
      <c r="M119">
        <v>5</v>
      </c>
    </row>
    <row r="120" spans="1:13" x14ac:dyDescent="0.3">
      <c r="A120" t="s">
        <v>705</v>
      </c>
      <c r="B120" t="s">
        <v>516</v>
      </c>
      <c r="C120">
        <v>7</v>
      </c>
      <c r="D120">
        <v>636.11</v>
      </c>
      <c r="E120">
        <v>400.75</v>
      </c>
      <c r="F120">
        <v>0.05</v>
      </c>
      <c r="G120">
        <v>4452.7700000000004</v>
      </c>
      <c r="H120" s="1">
        <v>45938.46361111111</v>
      </c>
      <c r="I120">
        <v>17</v>
      </c>
      <c r="J120">
        <v>1060</v>
      </c>
      <c r="K120">
        <v>10</v>
      </c>
      <c r="L120">
        <v>2</v>
      </c>
      <c r="M120">
        <v>10</v>
      </c>
    </row>
    <row r="121" spans="1:13" x14ac:dyDescent="0.3">
      <c r="A121" t="s">
        <v>706</v>
      </c>
      <c r="B121" t="s">
        <v>518</v>
      </c>
      <c r="C121">
        <v>3</v>
      </c>
      <c r="D121">
        <v>237.5</v>
      </c>
      <c r="E121">
        <v>159.12</v>
      </c>
      <c r="F121">
        <v>0.05</v>
      </c>
      <c r="G121">
        <v>712.5</v>
      </c>
      <c r="H121" s="1">
        <v>45749.733495370368</v>
      </c>
      <c r="I121">
        <v>30</v>
      </c>
      <c r="J121">
        <v>1004</v>
      </c>
      <c r="K121">
        <v>13</v>
      </c>
      <c r="L121">
        <v>4</v>
      </c>
      <c r="M121">
        <v>8</v>
      </c>
    </row>
    <row r="122" spans="1:13" x14ac:dyDescent="0.3">
      <c r="A122" t="s">
        <v>707</v>
      </c>
      <c r="B122" t="s">
        <v>500</v>
      </c>
      <c r="C122">
        <v>4</v>
      </c>
      <c r="D122">
        <v>424.1</v>
      </c>
      <c r="E122">
        <v>233.26</v>
      </c>
      <c r="F122">
        <v>0.05</v>
      </c>
      <c r="G122">
        <v>1696.4</v>
      </c>
      <c r="H122" s="1">
        <v>45701.788865740738</v>
      </c>
      <c r="I122">
        <v>19</v>
      </c>
      <c r="J122">
        <v>1029</v>
      </c>
      <c r="K122">
        <v>6</v>
      </c>
      <c r="L122">
        <v>8</v>
      </c>
      <c r="M122">
        <v>4</v>
      </c>
    </row>
    <row r="123" spans="1:13" x14ac:dyDescent="0.3">
      <c r="A123" t="s">
        <v>708</v>
      </c>
      <c r="B123" t="s">
        <v>522</v>
      </c>
      <c r="C123">
        <v>7</v>
      </c>
      <c r="D123">
        <v>727.47</v>
      </c>
      <c r="E123">
        <v>516.5</v>
      </c>
      <c r="F123">
        <v>0.1</v>
      </c>
      <c r="G123">
        <v>5092.29</v>
      </c>
      <c r="H123" s="1">
        <v>46019.441967592589</v>
      </c>
      <c r="I123">
        <v>20</v>
      </c>
      <c r="J123">
        <v>1040</v>
      </c>
      <c r="K123">
        <v>4</v>
      </c>
      <c r="L123">
        <v>11</v>
      </c>
      <c r="M123">
        <v>11</v>
      </c>
    </row>
    <row r="124" spans="1:13" x14ac:dyDescent="0.3">
      <c r="A124" t="s">
        <v>709</v>
      </c>
      <c r="B124" t="s">
        <v>572</v>
      </c>
      <c r="C124">
        <v>2</v>
      </c>
      <c r="D124">
        <v>203.17</v>
      </c>
      <c r="E124">
        <v>119.87</v>
      </c>
      <c r="F124">
        <v>0.1</v>
      </c>
      <c r="G124">
        <v>406.34</v>
      </c>
      <c r="H124" s="1">
        <v>46310.558009259257</v>
      </c>
      <c r="I124">
        <v>22</v>
      </c>
      <c r="J124">
        <v>1043</v>
      </c>
      <c r="K124">
        <v>8</v>
      </c>
      <c r="L124">
        <v>15</v>
      </c>
      <c r="M124">
        <v>7</v>
      </c>
    </row>
    <row r="125" spans="1:13" x14ac:dyDescent="0.3">
      <c r="A125" t="s">
        <v>710</v>
      </c>
      <c r="B125" t="s">
        <v>509</v>
      </c>
      <c r="C125">
        <v>9</v>
      </c>
      <c r="D125">
        <v>674.32</v>
      </c>
      <c r="E125">
        <v>424.82</v>
      </c>
      <c r="F125">
        <v>0.15</v>
      </c>
      <c r="G125">
        <v>6068.88</v>
      </c>
      <c r="H125" s="1">
        <v>45710.691111111111</v>
      </c>
      <c r="I125">
        <v>24</v>
      </c>
      <c r="J125">
        <v>1026</v>
      </c>
      <c r="K125">
        <v>3</v>
      </c>
      <c r="L125">
        <v>17</v>
      </c>
      <c r="M125">
        <v>5</v>
      </c>
    </row>
    <row r="126" spans="1:13" x14ac:dyDescent="0.3">
      <c r="A126" t="s">
        <v>711</v>
      </c>
      <c r="B126" t="s">
        <v>530</v>
      </c>
      <c r="C126">
        <v>6</v>
      </c>
      <c r="D126">
        <v>674.32</v>
      </c>
      <c r="E126">
        <v>451.79</v>
      </c>
      <c r="F126">
        <v>0.15</v>
      </c>
      <c r="G126">
        <v>4045.92</v>
      </c>
      <c r="H126" s="1">
        <v>45770.56758101852</v>
      </c>
      <c r="I126">
        <v>24</v>
      </c>
      <c r="J126">
        <v>1044</v>
      </c>
      <c r="K126">
        <v>8</v>
      </c>
      <c r="L126">
        <v>19</v>
      </c>
      <c r="M126">
        <v>3</v>
      </c>
    </row>
    <row r="127" spans="1:13" x14ac:dyDescent="0.3">
      <c r="A127" t="s">
        <v>712</v>
      </c>
      <c r="B127" t="s">
        <v>538</v>
      </c>
      <c r="C127">
        <v>3</v>
      </c>
      <c r="D127">
        <v>683.87</v>
      </c>
      <c r="E127">
        <v>458.19</v>
      </c>
      <c r="F127">
        <v>0.05</v>
      </c>
      <c r="G127">
        <v>2051.61</v>
      </c>
      <c r="H127" s="1">
        <v>46206.319814814815</v>
      </c>
      <c r="I127">
        <v>27</v>
      </c>
      <c r="J127">
        <v>1039</v>
      </c>
      <c r="K127">
        <v>13</v>
      </c>
      <c r="L127">
        <v>4</v>
      </c>
      <c r="M127">
        <v>8</v>
      </c>
    </row>
    <row r="128" spans="1:13" x14ac:dyDescent="0.3">
      <c r="A128" t="s">
        <v>713</v>
      </c>
      <c r="B128" t="s">
        <v>573</v>
      </c>
      <c r="C128">
        <v>9</v>
      </c>
      <c r="D128">
        <v>683.87</v>
      </c>
      <c r="E128">
        <v>430.84</v>
      </c>
      <c r="F128">
        <v>0.15</v>
      </c>
      <c r="G128">
        <v>6154.83</v>
      </c>
      <c r="H128" s="1">
        <v>46166.771793981483</v>
      </c>
      <c r="I128">
        <v>27</v>
      </c>
      <c r="J128">
        <v>1012</v>
      </c>
      <c r="K128">
        <v>14</v>
      </c>
      <c r="L128">
        <v>7</v>
      </c>
      <c r="M128">
        <v>15</v>
      </c>
    </row>
    <row r="129" spans="1:13" x14ac:dyDescent="0.3">
      <c r="A129" t="s">
        <v>714</v>
      </c>
      <c r="B129" t="s">
        <v>502</v>
      </c>
      <c r="C129">
        <v>2</v>
      </c>
      <c r="D129">
        <v>98.48</v>
      </c>
      <c r="E129">
        <v>69.92</v>
      </c>
      <c r="F129">
        <v>0.15</v>
      </c>
      <c r="G129">
        <v>196.96</v>
      </c>
      <c r="H129" s="1">
        <v>45782.451481481483</v>
      </c>
      <c r="I129">
        <v>56</v>
      </c>
      <c r="J129">
        <v>1015</v>
      </c>
      <c r="K129">
        <v>5</v>
      </c>
      <c r="L129">
        <v>11</v>
      </c>
      <c r="M129">
        <v>11</v>
      </c>
    </row>
    <row r="130" spans="1:13" x14ac:dyDescent="0.3">
      <c r="A130" t="s">
        <v>715</v>
      </c>
      <c r="B130" t="s">
        <v>541</v>
      </c>
      <c r="C130">
        <v>4</v>
      </c>
      <c r="D130">
        <v>617.04999999999995</v>
      </c>
      <c r="E130">
        <v>364.06</v>
      </c>
      <c r="F130">
        <v>0.15</v>
      </c>
      <c r="G130">
        <v>2468.1999999999998</v>
      </c>
      <c r="H130" s="1">
        <v>46040.490983796299</v>
      </c>
      <c r="I130">
        <v>31</v>
      </c>
      <c r="J130">
        <v>1025</v>
      </c>
      <c r="K130">
        <v>9</v>
      </c>
      <c r="L130">
        <v>5</v>
      </c>
      <c r="M130">
        <v>17</v>
      </c>
    </row>
    <row r="131" spans="1:13" x14ac:dyDescent="0.3">
      <c r="A131" t="s">
        <v>716</v>
      </c>
      <c r="B131" t="s">
        <v>517</v>
      </c>
      <c r="C131">
        <v>4</v>
      </c>
      <c r="D131">
        <v>191.04</v>
      </c>
      <c r="E131">
        <v>128</v>
      </c>
      <c r="F131">
        <v>0.1</v>
      </c>
      <c r="G131">
        <v>764.16</v>
      </c>
      <c r="H131" s="1">
        <v>45701.489641203705</v>
      </c>
      <c r="I131">
        <v>37</v>
      </c>
      <c r="J131">
        <v>1019</v>
      </c>
      <c r="K131">
        <v>3</v>
      </c>
      <c r="L131">
        <v>9</v>
      </c>
      <c r="M131">
        <v>13</v>
      </c>
    </row>
    <row r="132" spans="1:13" x14ac:dyDescent="0.3">
      <c r="A132" t="s">
        <v>717</v>
      </c>
      <c r="B132" t="s">
        <v>524</v>
      </c>
      <c r="C132">
        <v>6</v>
      </c>
      <c r="D132">
        <v>234.4</v>
      </c>
      <c r="E132">
        <v>138.30000000000001</v>
      </c>
      <c r="F132">
        <v>0.1</v>
      </c>
      <c r="G132">
        <v>1406.4</v>
      </c>
      <c r="H132" s="1">
        <v>45993.680671296293</v>
      </c>
      <c r="I132">
        <v>49</v>
      </c>
      <c r="J132">
        <v>1009</v>
      </c>
      <c r="K132">
        <v>3</v>
      </c>
      <c r="L132">
        <v>5</v>
      </c>
      <c r="M132">
        <v>17</v>
      </c>
    </row>
    <row r="133" spans="1:13" x14ac:dyDescent="0.3">
      <c r="A133" t="s">
        <v>718</v>
      </c>
      <c r="B133" t="s">
        <v>542</v>
      </c>
      <c r="C133">
        <v>6</v>
      </c>
      <c r="D133">
        <v>230.05</v>
      </c>
      <c r="E133">
        <v>154.13</v>
      </c>
      <c r="F133">
        <v>0.15</v>
      </c>
      <c r="G133">
        <v>1380.3</v>
      </c>
      <c r="H133" s="1">
        <v>46238.318159722221</v>
      </c>
      <c r="I133">
        <v>55</v>
      </c>
      <c r="J133">
        <v>1025</v>
      </c>
      <c r="K133">
        <v>3</v>
      </c>
      <c r="L133">
        <v>9</v>
      </c>
      <c r="M133">
        <v>13</v>
      </c>
    </row>
    <row r="134" spans="1:13" x14ac:dyDescent="0.3">
      <c r="A134" t="s">
        <v>719</v>
      </c>
      <c r="B134" t="s">
        <v>546</v>
      </c>
      <c r="C134">
        <v>1</v>
      </c>
      <c r="D134">
        <v>659.47</v>
      </c>
      <c r="E134">
        <v>362.71</v>
      </c>
      <c r="F134">
        <v>0.1</v>
      </c>
      <c r="G134">
        <v>659.47</v>
      </c>
      <c r="H134" s="1">
        <v>46065.646018518521</v>
      </c>
      <c r="I134">
        <v>59</v>
      </c>
      <c r="J134">
        <v>1033</v>
      </c>
      <c r="K134">
        <v>9</v>
      </c>
      <c r="L134">
        <v>13</v>
      </c>
      <c r="M134">
        <v>9</v>
      </c>
    </row>
    <row r="135" spans="1:13" x14ac:dyDescent="0.3">
      <c r="A135" t="s">
        <v>720</v>
      </c>
      <c r="B135" t="s">
        <v>574</v>
      </c>
      <c r="C135">
        <v>4</v>
      </c>
      <c r="D135">
        <v>659.47</v>
      </c>
      <c r="E135">
        <v>441.84</v>
      </c>
      <c r="F135">
        <v>0.05</v>
      </c>
      <c r="G135">
        <v>2637.88</v>
      </c>
      <c r="H135" s="1">
        <v>46300.637974537036</v>
      </c>
      <c r="I135">
        <v>59</v>
      </c>
      <c r="J135">
        <v>1057</v>
      </c>
      <c r="K135">
        <v>11</v>
      </c>
      <c r="L135">
        <v>14</v>
      </c>
      <c r="M135">
        <v>18</v>
      </c>
    </row>
    <row r="136" spans="1:13" x14ac:dyDescent="0.3">
      <c r="A136" t="s">
        <v>721</v>
      </c>
      <c r="B136" t="s">
        <v>548</v>
      </c>
      <c r="C136">
        <v>10</v>
      </c>
      <c r="D136">
        <v>481.99</v>
      </c>
      <c r="E136">
        <v>342.21</v>
      </c>
      <c r="F136">
        <v>0.1</v>
      </c>
      <c r="G136">
        <v>4819.8999999999996</v>
      </c>
      <c r="H136" s="1">
        <v>46073.478518518517</v>
      </c>
      <c r="I136">
        <v>45</v>
      </c>
      <c r="J136">
        <v>1016</v>
      </c>
      <c r="K136">
        <v>9</v>
      </c>
      <c r="L136">
        <v>1</v>
      </c>
      <c r="M136">
        <v>1</v>
      </c>
    </row>
    <row r="137" spans="1:13" x14ac:dyDescent="0.3">
      <c r="A137" t="s">
        <v>722</v>
      </c>
      <c r="B137" t="s">
        <v>521</v>
      </c>
      <c r="C137">
        <v>1</v>
      </c>
      <c r="D137">
        <v>261.45</v>
      </c>
      <c r="E137">
        <v>164.71</v>
      </c>
      <c r="F137">
        <v>0.15</v>
      </c>
      <c r="G137">
        <v>261.45</v>
      </c>
      <c r="H137" s="1">
        <v>45778.748819444445</v>
      </c>
      <c r="I137">
        <v>53</v>
      </c>
      <c r="J137">
        <v>1045</v>
      </c>
      <c r="K137">
        <v>4</v>
      </c>
      <c r="L137">
        <v>7</v>
      </c>
      <c r="M137">
        <v>15</v>
      </c>
    </row>
    <row r="138" spans="1:13" x14ac:dyDescent="0.3">
      <c r="A138" t="s">
        <v>723</v>
      </c>
      <c r="B138" t="s">
        <v>552</v>
      </c>
      <c r="C138">
        <v>4</v>
      </c>
      <c r="D138">
        <v>897.63</v>
      </c>
      <c r="E138">
        <v>529.6</v>
      </c>
      <c r="F138">
        <v>0.15</v>
      </c>
      <c r="G138">
        <v>3590.52</v>
      </c>
      <c r="H138" s="1">
        <v>46037.649375000001</v>
      </c>
      <c r="I138">
        <v>26</v>
      </c>
      <c r="J138">
        <v>1049</v>
      </c>
      <c r="K138">
        <v>5</v>
      </c>
      <c r="L138">
        <v>15</v>
      </c>
      <c r="M138">
        <v>7</v>
      </c>
    </row>
    <row r="139" spans="1:13" x14ac:dyDescent="0.3">
      <c r="A139" t="s">
        <v>724</v>
      </c>
      <c r="B139" t="s">
        <v>554</v>
      </c>
      <c r="C139">
        <v>8</v>
      </c>
      <c r="D139">
        <v>394.16</v>
      </c>
      <c r="E139">
        <v>279.85000000000002</v>
      </c>
      <c r="F139">
        <v>0.05</v>
      </c>
      <c r="G139">
        <v>3153.28</v>
      </c>
      <c r="H139" s="1">
        <v>46168.479872685188</v>
      </c>
      <c r="I139">
        <v>25</v>
      </c>
      <c r="J139">
        <v>1030</v>
      </c>
      <c r="K139">
        <v>6</v>
      </c>
      <c r="L139">
        <v>16</v>
      </c>
      <c r="M139">
        <v>16</v>
      </c>
    </row>
    <row r="140" spans="1:13" x14ac:dyDescent="0.3">
      <c r="A140" t="s">
        <v>725</v>
      </c>
      <c r="B140" t="s">
        <v>555</v>
      </c>
      <c r="C140">
        <v>6</v>
      </c>
      <c r="D140">
        <v>689.34</v>
      </c>
      <c r="E140">
        <v>379.14</v>
      </c>
      <c r="F140">
        <v>0.1</v>
      </c>
      <c r="G140">
        <v>4136.04</v>
      </c>
      <c r="H140" s="1">
        <v>46255.502118055556</v>
      </c>
      <c r="I140">
        <v>35</v>
      </c>
      <c r="J140">
        <v>1014</v>
      </c>
      <c r="K140">
        <v>5</v>
      </c>
      <c r="L140">
        <v>3</v>
      </c>
      <c r="M140">
        <v>19</v>
      </c>
    </row>
    <row r="141" spans="1:13" x14ac:dyDescent="0.3">
      <c r="A141" t="s">
        <v>726</v>
      </c>
      <c r="B141" t="s">
        <v>559</v>
      </c>
      <c r="C141">
        <v>5</v>
      </c>
      <c r="D141">
        <v>648.67999999999995</v>
      </c>
      <c r="E141">
        <v>408.67</v>
      </c>
      <c r="F141">
        <v>0.1</v>
      </c>
      <c r="G141">
        <v>3243.4</v>
      </c>
      <c r="H141" s="1">
        <v>46284.622152777774</v>
      </c>
      <c r="I141">
        <v>4</v>
      </c>
      <c r="J141">
        <v>1050</v>
      </c>
      <c r="K141">
        <v>4</v>
      </c>
      <c r="L141">
        <v>7</v>
      </c>
      <c r="M141">
        <v>15</v>
      </c>
    </row>
    <row r="142" spans="1:13" x14ac:dyDescent="0.3">
      <c r="A142" t="s">
        <v>727</v>
      </c>
      <c r="B142" t="s">
        <v>565</v>
      </c>
      <c r="C142">
        <v>1</v>
      </c>
      <c r="D142">
        <v>654.04999999999995</v>
      </c>
      <c r="E142">
        <v>359.73</v>
      </c>
      <c r="F142">
        <v>0.1</v>
      </c>
      <c r="G142">
        <v>654.04999999999995</v>
      </c>
      <c r="H142" s="1">
        <v>46244.303252314814</v>
      </c>
      <c r="I142">
        <v>34</v>
      </c>
      <c r="J142">
        <v>1047</v>
      </c>
      <c r="K142">
        <v>9</v>
      </c>
      <c r="L142">
        <v>13</v>
      </c>
      <c r="M142">
        <v>9</v>
      </c>
    </row>
    <row r="143" spans="1:13" x14ac:dyDescent="0.3">
      <c r="A143" t="s">
        <v>728</v>
      </c>
      <c r="B143" t="s">
        <v>563</v>
      </c>
      <c r="C143">
        <v>3</v>
      </c>
      <c r="D143">
        <v>260.92</v>
      </c>
      <c r="E143">
        <v>153.94</v>
      </c>
      <c r="F143">
        <v>0.1</v>
      </c>
      <c r="G143">
        <v>782.76</v>
      </c>
      <c r="H143" s="1">
        <v>46275.374548611115</v>
      </c>
      <c r="I143">
        <v>7</v>
      </c>
      <c r="J143">
        <v>1037</v>
      </c>
      <c r="K143">
        <v>10</v>
      </c>
      <c r="L143">
        <v>18</v>
      </c>
      <c r="M143">
        <v>14</v>
      </c>
    </row>
    <row r="144" spans="1:13" x14ac:dyDescent="0.3">
      <c r="A144" t="s">
        <v>729</v>
      </c>
      <c r="B144" t="s">
        <v>529</v>
      </c>
      <c r="C144">
        <v>8</v>
      </c>
      <c r="D144">
        <v>274.75</v>
      </c>
      <c r="E144">
        <v>184.08</v>
      </c>
      <c r="F144">
        <v>0.15</v>
      </c>
      <c r="G144">
        <v>2198</v>
      </c>
      <c r="H144" s="1">
        <v>45848.606527777774</v>
      </c>
      <c r="I144">
        <v>33</v>
      </c>
      <c r="J144">
        <v>1048</v>
      </c>
      <c r="K144">
        <v>8</v>
      </c>
      <c r="L144">
        <v>3</v>
      </c>
      <c r="M144">
        <v>19</v>
      </c>
    </row>
    <row r="145" spans="1:13" x14ac:dyDescent="0.3">
      <c r="A145" t="s">
        <v>730</v>
      </c>
      <c r="B145" t="s">
        <v>499</v>
      </c>
      <c r="C145">
        <v>8</v>
      </c>
      <c r="D145">
        <v>659.47</v>
      </c>
      <c r="E145">
        <v>389.09</v>
      </c>
      <c r="F145">
        <v>0.05</v>
      </c>
      <c r="G145">
        <v>5275.76</v>
      </c>
      <c r="H145" s="1">
        <v>45739.529374999998</v>
      </c>
      <c r="I145">
        <v>59</v>
      </c>
      <c r="J145">
        <v>1007</v>
      </c>
      <c r="K145">
        <v>3</v>
      </c>
      <c r="L145">
        <v>1</v>
      </c>
      <c r="M145">
        <v>1</v>
      </c>
    </row>
    <row r="146" spans="1:13" x14ac:dyDescent="0.3">
      <c r="A146" t="s">
        <v>731</v>
      </c>
      <c r="B146" t="s">
        <v>572</v>
      </c>
      <c r="C146">
        <v>8</v>
      </c>
      <c r="D146">
        <v>880.52</v>
      </c>
      <c r="E146">
        <v>554.73</v>
      </c>
      <c r="F146">
        <v>0.1</v>
      </c>
      <c r="G146">
        <v>7044.16</v>
      </c>
      <c r="H146" s="1">
        <v>46310.558009259257</v>
      </c>
      <c r="I146">
        <v>43</v>
      </c>
      <c r="J146">
        <v>1043</v>
      </c>
      <c r="K146">
        <v>8</v>
      </c>
      <c r="L146">
        <v>15</v>
      </c>
      <c r="M146">
        <v>7</v>
      </c>
    </row>
    <row r="147" spans="1:13" x14ac:dyDescent="0.3">
      <c r="A147" t="s">
        <v>732</v>
      </c>
      <c r="B147" t="s">
        <v>561</v>
      </c>
      <c r="C147">
        <v>9</v>
      </c>
      <c r="D147">
        <v>689.34</v>
      </c>
      <c r="E147">
        <v>489.43</v>
      </c>
      <c r="F147">
        <v>0.15</v>
      </c>
      <c r="G147">
        <v>6204.06</v>
      </c>
      <c r="H147" s="1">
        <v>46081.531597222223</v>
      </c>
      <c r="I147">
        <v>35</v>
      </c>
      <c r="J147">
        <v>1007</v>
      </c>
      <c r="K147">
        <v>7</v>
      </c>
      <c r="L147">
        <v>10</v>
      </c>
      <c r="M147">
        <v>2</v>
      </c>
    </row>
    <row r="148" spans="1:13" x14ac:dyDescent="0.3">
      <c r="A148" t="s">
        <v>733</v>
      </c>
      <c r="B148" t="s">
        <v>550</v>
      </c>
      <c r="C148">
        <v>5</v>
      </c>
      <c r="D148">
        <v>645.96</v>
      </c>
      <c r="E148">
        <v>406.95</v>
      </c>
      <c r="F148">
        <v>0.05</v>
      </c>
      <c r="G148">
        <v>3229.8</v>
      </c>
      <c r="H148" s="1">
        <v>46114.443958333337</v>
      </c>
      <c r="I148">
        <v>47</v>
      </c>
      <c r="J148">
        <v>1046</v>
      </c>
      <c r="K148">
        <v>10</v>
      </c>
      <c r="L148">
        <v>10</v>
      </c>
      <c r="M148">
        <v>2</v>
      </c>
    </row>
    <row r="149" spans="1:13" x14ac:dyDescent="0.3">
      <c r="A149" t="s">
        <v>734</v>
      </c>
      <c r="B149" t="s">
        <v>520</v>
      </c>
      <c r="C149">
        <v>5</v>
      </c>
      <c r="D149">
        <v>689.34</v>
      </c>
      <c r="E149">
        <v>461.86</v>
      </c>
      <c r="F149">
        <v>0.1</v>
      </c>
      <c r="G149">
        <v>3446.7</v>
      </c>
      <c r="H149" s="1">
        <v>45912.303055555552</v>
      </c>
      <c r="I149">
        <v>35</v>
      </c>
      <c r="J149">
        <v>1021</v>
      </c>
      <c r="K149">
        <v>10</v>
      </c>
      <c r="L149">
        <v>6</v>
      </c>
      <c r="M149">
        <v>6</v>
      </c>
    </row>
    <row r="150" spans="1:13" x14ac:dyDescent="0.3">
      <c r="A150" t="s">
        <v>735</v>
      </c>
      <c r="B150" t="s">
        <v>541</v>
      </c>
      <c r="C150">
        <v>7</v>
      </c>
      <c r="D150">
        <v>261.45</v>
      </c>
      <c r="E150">
        <v>143.80000000000001</v>
      </c>
      <c r="F150">
        <v>0.15</v>
      </c>
      <c r="G150">
        <v>1830.15</v>
      </c>
      <c r="H150" s="1">
        <v>46040.490983796299</v>
      </c>
      <c r="I150">
        <v>53</v>
      </c>
      <c r="J150">
        <v>1025</v>
      </c>
      <c r="K150">
        <v>9</v>
      </c>
      <c r="L150">
        <v>5</v>
      </c>
      <c r="M150">
        <v>17</v>
      </c>
    </row>
    <row r="151" spans="1:13" x14ac:dyDescent="0.3">
      <c r="A151" t="s">
        <v>736</v>
      </c>
      <c r="B151" t="s">
        <v>495</v>
      </c>
      <c r="C151">
        <v>3</v>
      </c>
      <c r="D151">
        <v>654.04999999999995</v>
      </c>
      <c r="E151">
        <v>438.21</v>
      </c>
      <c r="F151">
        <v>0.05</v>
      </c>
      <c r="G151">
        <v>1962.15</v>
      </c>
      <c r="H151" s="1">
        <v>45966.335590277777</v>
      </c>
      <c r="I151">
        <v>34</v>
      </c>
      <c r="J151">
        <v>1016</v>
      </c>
      <c r="K151">
        <v>3</v>
      </c>
      <c r="L151">
        <v>17</v>
      </c>
      <c r="M151">
        <v>5</v>
      </c>
    </row>
    <row r="152" spans="1:13" x14ac:dyDescent="0.3">
      <c r="A152" t="s">
        <v>737</v>
      </c>
      <c r="B152" t="s">
        <v>513</v>
      </c>
      <c r="C152">
        <v>4</v>
      </c>
      <c r="D152">
        <v>576.96</v>
      </c>
      <c r="E152">
        <v>409.64</v>
      </c>
      <c r="F152">
        <v>0.1</v>
      </c>
      <c r="G152">
        <v>2307.84</v>
      </c>
      <c r="H152" s="1">
        <v>45990.729548611111</v>
      </c>
      <c r="I152">
        <v>18</v>
      </c>
      <c r="J152">
        <v>1036</v>
      </c>
      <c r="K152">
        <v>7</v>
      </c>
      <c r="L152">
        <v>14</v>
      </c>
      <c r="M152">
        <v>18</v>
      </c>
    </row>
    <row r="153" spans="1:13" x14ac:dyDescent="0.3">
      <c r="A153" t="s">
        <v>738</v>
      </c>
      <c r="B153" t="s">
        <v>531</v>
      </c>
      <c r="C153">
        <v>6</v>
      </c>
      <c r="D153">
        <v>424.1</v>
      </c>
      <c r="E153">
        <v>250.22</v>
      </c>
      <c r="F153">
        <v>0.15</v>
      </c>
      <c r="G153">
        <v>2544.6</v>
      </c>
      <c r="H153" s="1">
        <v>45903.419236111113</v>
      </c>
      <c r="I153">
        <v>19</v>
      </c>
      <c r="J153">
        <v>1038</v>
      </c>
      <c r="K153">
        <v>8</v>
      </c>
      <c r="L153">
        <v>3</v>
      </c>
      <c r="M153">
        <v>19</v>
      </c>
    </row>
    <row r="154" spans="1:13" x14ac:dyDescent="0.3">
      <c r="A154" t="s">
        <v>739</v>
      </c>
      <c r="B154" t="s">
        <v>526</v>
      </c>
      <c r="C154">
        <v>8</v>
      </c>
      <c r="D154">
        <v>897.63</v>
      </c>
      <c r="E154">
        <v>637.32000000000005</v>
      </c>
      <c r="F154">
        <v>0.05</v>
      </c>
      <c r="G154">
        <v>7181.04</v>
      </c>
      <c r="H154" s="1">
        <v>46003.804583333331</v>
      </c>
      <c r="I154">
        <v>26</v>
      </c>
      <c r="J154">
        <v>1048</v>
      </c>
      <c r="K154">
        <v>13</v>
      </c>
      <c r="L154">
        <v>12</v>
      </c>
      <c r="M154">
        <v>20</v>
      </c>
    </row>
    <row r="155" spans="1:13" x14ac:dyDescent="0.3">
      <c r="A155" t="s">
        <v>740</v>
      </c>
      <c r="B155" t="s">
        <v>495</v>
      </c>
      <c r="C155">
        <v>4</v>
      </c>
      <c r="D155">
        <v>191.04</v>
      </c>
      <c r="E155">
        <v>105.07</v>
      </c>
      <c r="F155">
        <v>0.1</v>
      </c>
      <c r="G155">
        <v>764.16</v>
      </c>
      <c r="H155" s="1">
        <v>45966.335590277777</v>
      </c>
      <c r="I155">
        <v>37</v>
      </c>
      <c r="J155">
        <v>1016</v>
      </c>
      <c r="K155">
        <v>3</v>
      </c>
      <c r="L155">
        <v>17</v>
      </c>
      <c r="M155">
        <v>5</v>
      </c>
    </row>
    <row r="156" spans="1:13" x14ac:dyDescent="0.3">
      <c r="A156" t="s">
        <v>741</v>
      </c>
      <c r="B156" t="s">
        <v>514</v>
      </c>
      <c r="C156">
        <v>2</v>
      </c>
      <c r="D156">
        <v>727.47</v>
      </c>
      <c r="E156">
        <v>458.31</v>
      </c>
      <c r="F156">
        <v>0.15</v>
      </c>
      <c r="G156">
        <v>1454.94</v>
      </c>
      <c r="H156" s="1">
        <v>46020.742997685185</v>
      </c>
      <c r="I156">
        <v>20</v>
      </c>
      <c r="J156">
        <v>1035</v>
      </c>
      <c r="K156">
        <v>3</v>
      </c>
      <c r="L156">
        <v>1</v>
      </c>
      <c r="M156">
        <v>1</v>
      </c>
    </row>
    <row r="157" spans="1:13" x14ac:dyDescent="0.3">
      <c r="A157" t="s">
        <v>742</v>
      </c>
      <c r="B157" t="s">
        <v>511</v>
      </c>
      <c r="C157">
        <v>7</v>
      </c>
      <c r="D157">
        <v>394.16</v>
      </c>
      <c r="E157">
        <v>216.79</v>
      </c>
      <c r="F157">
        <v>0.05</v>
      </c>
      <c r="G157">
        <v>2759.12</v>
      </c>
      <c r="H157" s="1">
        <v>45798.765173611115</v>
      </c>
      <c r="I157">
        <v>25</v>
      </c>
      <c r="J157">
        <v>1003</v>
      </c>
      <c r="K157">
        <v>10</v>
      </c>
      <c r="L157">
        <v>18</v>
      </c>
      <c r="M157">
        <v>14</v>
      </c>
    </row>
    <row r="158" spans="1:13" x14ac:dyDescent="0.3">
      <c r="A158" t="s">
        <v>743</v>
      </c>
      <c r="B158" t="s">
        <v>568</v>
      </c>
      <c r="C158">
        <v>8</v>
      </c>
      <c r="D158">
        <v>568.39</v>
      </c>
      <c r="E158">
        <v>335.35</v>
      </c>
      <c r="F158">
        <v>0.1</v>
      </c>
      <c r="G158">
        <v>4547.12</v>
      </c>
      <c r="H158" s="1">
        <v>46118.613576388889</v>
      </c>
      <c r="I158">
        <v>36</v>
      </c>
      <c r="J158">
        <v>1005</v>
      </c>
      <c r="K158">
        <v>13</v>
      </c>
      <c r="L158">
        <v>12</v>
      </c>
      <c r="M158">
        <v>20</v>
      </c>
    </row>
    <row r="159" spans="1:13" x14ac:dyDescent="0.3">
      <c r="A159" t="s">
        <v>744</v>
      </c>
      <c r="B159" t="s">
        <v>506</v>
      </c>
      <c r="C159">
        <v>3</v>
      </c>
      <c r="D159">
        <v>481.99</v>
      </c>
      <c r="E159">
        <v>322.93</v>
      </c>
      <c r="F159">
        <v>0.15</v>
      </c>
      <c r="G159">
        <v>1445.97</v>
      </c>
      <c r="H159" s="1">
        <v>45733.591631944444</v>
      </c>
      <c r="I159">
        <v>45</v>
      </c>
      <c r="J159">
        <v>1055</v>
      </c>
      <c r="K159">
        <v>9</v>
      </c>
      <c r="L159">
        <v>17</v>
      </c>
      <c r="M159">
        <v>5</v>
      </c>
    </row>
    <row r="160" spans="1:13" x14ac:dyDescent="0.3">
      <c r="A160" t="s">
        <v>745</v>
      </c>
      <c r="B160" t="s">
        <v>539</v>
      </c>
      <c r="C160">
        <v>6</v>
      </c>
      <c r="D160">
        <v>84.7</v>
      </c>
      <c r="E160">
        <v>49.97</v>
      </c>
      <c r="F160">
        <v>0.05</v>
      </c>
      <c r="G160">
        <v>508.2</v>
      </c>
      <c r="H160" s="1">
        <v>46141.786898148152</v>
      </c>
      <c r="I160">
        <v>42</v>
      </c>
      <c r="J160">
        <v>1059</v>
      </c>
      <c r="K160">
        <v>5</v>
      </c>
      <c r="L160">
        <v>3</v>
      </c>
      <c r="M160">
        <v>19</v>
      </c>
    </row>
    <row r="161" spans="1:13" x14ac:dyDescent="0.3">
      <c r="A161" t="s">
        <v>746</v>
      </c>
      <c r="B161" t="s">
        <v>557</v>
      </c>
      <c r="C161">
        <v>2</v>
      </c>
      <c r="D161">
        <v>191.04</v>
      </c>
      <c r="E161">
        <v>120.36</v>
      </c>
      <c r="F161">
        <v>0.1</v>
      </c>
      <c r="G161">
        <v>382.08</v>
      </c>
      <c r="H161" s="1">
        <v>46250.676921296297</v>
      </c>
      <c r="I161">
        <v>37</v>
      </c>
      <c r="J161">
        <v>1017</v>
      </c>
      <c r="K161">
        <v>10</v>
      </c>
      <c r="L161">
        <v>6</v>
      </c>
      <c r="M161">
        <v>6</v>
      </c>
    </row>
    <row r="162" spans="1:13" x14ac:dyDescent="0.3">
      <c r="A162" t="s">
        <v>747</v>
      </c>
      <c r="B162" t="s">
        <v>538</v>
      </c>
      <c r="C162">
        <v>1</v>
      </c>
      <c r="D162">
        <v>659.47</v>
      </c>
      <c r="E162">
        <v>468.22</v>
      </c>
      <c r="F162">
        <v>0.15</v>
      </c>
      <c r="G162">
        <v>659.47</v>
      </c>
      <c r="H162" s="1">
        <v>46206.319814814815</v>
      </c>
      <c r="I162">
        <v>59</v>
      </c>
      <c r="J162">
        <v>1039</v>
      </c>
      <c r="K162">
        <v>13</v>
      </c>
      <c r="L162">
        <v>4</v>
      </c>
      <c r="M162">
        <v>8</v>
      </c>
    </row>
    <row r="163" spans="1:13" x14ac:dyDescent="0.3">
      <c r="A163" t="s">
        <v>748</v>
      </c>
      <c r="B163" t="s">
        <v>538</v>
      </c>
      <c r="C163">
        <v>5</v>
      </c>
      <c r="D163">
        <v>617.04999999999995</v>
      </c>
      <c r="E163">
        <v>388.74</v>
      </c>
      <c r="F163">
        <v>0.05</v>
      </c>
      <c r="G163">
        <v>3085.25</v>
      </c>
      <c r="H163" s="1">
        <v>46206.319814814815</v>
      </c>
      <c r="I163">
        <v>31</v>
      </c>
      <c r="J163">
        <v>1039</v>
      </c>
      <c r="K163">
        <v>13</v>
      </c>
      <c r="L163">
        <v>4</v>
      </c>
      <c r="M163">
        <v>8</v>
      </c>
    </row>
    <row r="164" spans="1:13" x14ac:dyDescent="0.3">
      <c r="A164" t="s">
        <v>749</v>
      </c>
      <c r="B164" t="s">
        <v>533</v>
      </c>
      <c r="C164">
        <v>2</v>
      </c>
      <c r="D164">
        <v>412.55</v>
      </c>
      <c r="E164">
        <v>276.41000000000003</v>
      </c>
      <c r="F164">
        <v>0.1</v>
      </c>
      <c r="G164">
        <v>825.1</v>
      </c>
      <c r="H164" s="1">
        <v>45943.638356481482</v>
      </c>
      <c r="I164">
        <v>5</v>
      </c>
      <c r="J164">
        <v>1016</v>
      </c>
      <c r="K164">
        <v>12</v>
      </c>
      <c r="L164">
        <v>8</v>
      </c>
      <c r="M164">
        <v>4</v>
      </c>
    </row>
    <row r="165" spans="1:13" x14ac:dyDescent="0.3">
      <c r="A165" t="s">
        <v>750</v>
      </c>
      <c r="B165" t="s">
        <v>569</v>
      </c>
      <c r="C165">
        <v>9</v>
      </c>
      <c r="D165">
        <v>593.30999999999995</v>
      </c>
      <c r="E165">
        <v>326.32</v>
      </c>
      <c r="F165">
        <v>0.15</v>
      </c>
      <c r="G165">
        <v>5339.79</v>
      </c>
      <c r="H165" s="1">
        <v>46277.537488425929</v>
      </c>
      <c r="I165">
        <v>58</v>
      </c>
      <c r="J165">
        <v>1058</v>
      </c>
      <c r="K165">
        <v>13</v>
      </c>
      <c r="L165">
        <v>20</v>
      </c>
      <c r="M165">
        <v>12</v>
      </c>
    </row>
    <row r="166" spans="1:13" x14ac:dyDescent="0.3">
      <c r="A166" t="s">
        <v>751</v>
      </c>
      <c r="B166" t="s">
        <v>573</v>
      </c>
      <c r="C166">
        <v>4</v>
      </c>
      <c r="D166">
        <v>648.67999999999995</v>
      </c>
      <c r="E166">
        <v>434.62</v>
      </c>
      <c r="F166">
        <v>0.05</v>
      </c>
      <c r="G166">
        <v>2594.7199999999998</v>
      </c>
      <c r="H166" s="1">
        <v>46166.771793981483</v>
      </c>
      <c r="I166">
        <v>4</v>
      </c>
      <c r="J166">
        <v>1012</v>
      </c>
      <c r="K166">
        <v>14</v>
      </c>
      <c r="L166">
        <v>7</v>
      </c>
      <c r="M166">
        <v>15</v>
      </c>
    </row>
    <row r="167" spans="1:13" x14ac:dyDescent="0.3">
      <c r="A167" t="s">
        <v>752</v>
      </c>
      <c r="B167" t="s">
        <v>530</v>
      </c>
      <c r="C167">
        <v>3</v>
      </c>
      <c r="D167">
        <v>858.85</v>
      </c>
      <c r="E167">
        <v>609.78</v>
      </c>
      <c r="F167">
        <v>0.1</v>
      </c>
      <c r="G167">
        <v>2576.5500000000002</v>
      </c>
      <c r="H167" s="1">
        <v>45770.56758101852</v>
      </c>
      <c r="I167">
        <v>38</v>
      </c>
      <c r="J167">
        <v>1044</v>
      </c>
      <c r="K167">
        <v>8</v>
      </c>
      <c r="L167">
        <v>19</v>
      </c>
      <c r="M167">
        <v>3</v>
      </c>
    </row>
    <row r="168" spans="1:13" x14ac:dyDescent="0.3">
      <c r="A168" t="s">
        <v>753</v>
      </c>
      <c r="B168" t="s">
        <v>556</v>
      </c>
      <c r="C168">
        <v>2</v>
      </c>
      <c r="D168">
        <v>184.56</v>
      </c>
      <c r="E168">
        <v>108.89</v>
      </c>
      <c r="F168">
        <v>0.15</v>
      </c>
      <c r="G168">
        <v>369.12</v>
      </c>
      <c r="H168" s="1">
        <v>46221.494895833333</v>
      </c>
      <c r="I168">
        <v>60</v>
      </c>
      <c r="J168">
        <v>1029</v>
      </c>
      <c r="K168">
        <v>13</v>
      </c>
      <c r="L168">
        <v>4</v>
      </c>
      <c r="M168">
        <v>8</v>
      </c>
    </row>
    <row r="169" spans="1:13" x14ac:dyDescent="0.3">
      <c r="A169" t="s">
        <v>754</v>
      </c>
      <c r="B169" t="s">
        <v>556</v>
      </c>
      <c r="C169">
        <v>7</v>
      </c>
      <c r="D169">
        <v>191.04</v>
      </c>
      <c r="E169">
        <v>135.63999999999999</v>
      </c>
      <c r="F169">
        <v>0.05</v>
      </c>
      <c r="G169">
        <v>1337.28</v>
      </c>
      <c r="H169" s="1">
        <v>46221.494895833333</v>
      </c>
      <c r="I169">
        <v>37</v>
      </c>
      <c r="J169">
        <v>1029</v>
      </c>
      <c r="K169">
        <v>13</v>
      </c>
      <c r="L169">
        <v>4</v>
      </c>
      <c r="M169">
        <v>8</v>
      </c>
    </row>
    <row r="170" spans="1:13" x14ac:dyDescent="0.3">
      <c r="A170" t="s">
        <v>755</v>
      </c>
      <c r="B170" t="s">
        <v>540</v>
      </c>
      <c r="C170">
        <v>9</v>
      </c>
      <c r="D170">
        <v>598.88</v>
      </c>
      <c r="E170">
        <v>329.38</v>
      </c>
      <c r="F170">
        <v>0.1</v>
      </c>
      <c r="G170">
        <v>5389.92</v>
      </c>
      <c r="H170" s="1">
        <v>46215.660092592596</v>
      </c>
      <c r="I170">
        <v>44</v>
      </c>
      <c r="J170">
        <v>1034</v>
      </c>
      <c r="K170">
        <v>10</v>
      </c>
      <c r="L170">
        <v>18</v>
      </c>
      <c r="M170">
        <v>14</v>
      </c>
    </row>
    <row r="171" spans="1:13" x14ac:dyDescent="0.3">
      <c r="A171" t="s">
        <v>756</v>
      </c>
      <c r="B171" t="s">
        <v>573</v>
      </c>
      <c r="C171">
        <v>3</v>
      </c>
      <c r="D171">
        <v>234.4</v>
      </c>
      <c r="E171">
        <v>147.66999999999999</v>
      </c>
      <c r="F171">
        <v>0.15</v>
      </c>
      <c r="G171">
        <v>703.2</v>
      </c>
      <c r="H171" s="1">
        <v>46166.771793981483</v>
      </c>
      <c r="I171">
        <v>49</v>
      </c>
      <c r="J171">
        <v>1012</v>
      </c>
      <c r="K171">
        <v>14</v>
      </c>
      <c r="L171">
        <v>7</v>
      </c>
      <c r="M171">
        <v>15</v>
      </c>
    </row>
    <row r="172" spans="1:13" x14ac:dyDescent="0.3">
      <c r="A172" t="s">
        <v>757</v>
      </c>
      <c r="B172" t="s">
        <v>549</v>
      </c>
      <c r="C172">
        <v>2</v>
      </c>
      <c r="D172">
        <v>686.54</v>
      </c>
      <c r="E172">
        <v>377.6</v>
      </c>
      <c r="F172">
        <v>0.05</v>
      </c>
      <c r="G172">
        <v>1373.08</v>
      </c>
      <c r="H172" s="1">
        <v>46280.743379629632</v>
      </c>
      <c r="I172">
        <v>6</v>
      </c>
      <c r="J172">
        <v>1055</v>
      </c>
      <c r="K172">
        <v>7</v>
      </c>
      <c r="L172">
        <v>2</v>
      </c>
      <c r="M172">
        <v>10</v>
      </c>
    </row>
    <row r="173" spans="1:13" x14ac:dyDescent="0.3">
      <c r="A173" t="s">
        <v>758</v>
      </c>
      <c r="B173" t="s">
        <v>518</v>
      </c>
      <c r="C173">
        <v>4</v>
      </c>
      <c r="D173">
        <v>156.58000000000001</v>
      </c>
      <c r="E173">
        <v>92.38</v>
      </c>
      <c r="F173">
        <v>0.1</v>
      </c>
      <c r="G173">
        <v>626.32000000000005</v>
      </c>
      <c r="H173" s="1">
        <v>45749.733495370368</v>
      </c>
      <c r="I173">
        <v>28</v>
      </c>
      <c r="J173">
        <v>1004</v>
      </c>
      <c r="K173">
        <v>13</v>
      </c>
      <c r="L173">
        <v>4</v>
      </c>
      <c r="M173">
        <v>8</v>
      </c>
    </row>
    <row r="174" spans="1:13" x14ac:dyDescent="0.3">
      <c r="A174" t="s">
        <v>759</v>
      </c>
      <c r="B174" t="s">
        <v>562</v>
      </c>
      <c r="C174">
        <v>10</v>
      </c>
      <c r="D174">
        <v>203.17</v>
      </c>
      <c r="E174">
        <v>136.12</v>
      </c>
      <c r="F174">
        <v>0.15</v>
      </c>
      <c r="G174">
        <v>2031.7</v>
      </c>
      <c r="H174" s="1">
        <v>46326.604641203703</v>
      </c>
      <c r="I174">
        <v>22</v>
      </c>
      <c r="J174">
        <v>1027</v>
      </c>
      <c r="K174">
        <v>3</v>
      </c>
      <c r="L174">
        <v>17</v>
      </c>
      <c r="M174">
        <v>5</v>
      </c>
    </row>
    <row r="175" spans="1:13" x14ac:dyDescent="0.3">
      <c r="A175" t="s">
        <v>760</v>
      </c>
      <c r="B175" t="s">
        <v>535</v>
      </c>
      <c r="C175">
        <v>6</v>
      </c>
      <c r="D175">
        <v>505.22</v>
      </c>
      <c r="E175">
        <v>298.08</v>
      </c>
      <c r="F175">
        <v>0.05</v>
      </c>
      <c r="G175">
        <v>3031.32</v>
      </c>
      <c r="H175" s="1">
        <v>46277.41337962963</v>
      </c>
      <c r="I175">
        <v>50</v>
      </c>
      <c r="J175">
        <v>1052</v>
      </c>
      <c r="K175">
        <v>6</v>
      </c>
      <c r="L175">
        <v>8</v>
      </c>
      <c r="M175">
        <v>4</v>
      </c>
    </row>
    <row r="176" spans="1:13" x14ac:dyDescent="0.3">
      <c r="A176" t="s">
        <v>761</v>
      </c>
      <c r="B176" t="s">
        <v>571</v>
      </c>
      <c r="C176">
        <v>5</v>
      </c>
      <c r="D176">
        <v>648.67999999999995</v>
      </c>
      <c r="E176">
        <v>408.67</v>
      </c>
      <c r="F176">
        <v>0.1</v>
      </c>
      <c r="G176">
        <v>3243.4</v>
      </c>
      <c r="H176" s="1">
        <v>46105.373773148145</v>
      </c>
      <c r="I176">
        <v>4</v>
      </c>
      <c r="J176">
        <v>1054</v>
      </c>
      <c r="K176">
        <v>2</v>
      </c>
      <c r="L176">
        <v>2</v>
      </c>
      <c r="M176">
        <v>10</v>
      </c>
    </row>
    <row r="177" spans="1:13" x14ac:dyDescent="0.3">
      <c r="A177" t="s">
        <v>762</v>
      </c>
      <c r="B177" t="s">
        <v>514</v>
      </c>
      <c r="C177">
        <v>4</v>
      </c>
      <c r="D177">
        <v>679.53</v>
      </c>
      <c r="E177">
        <v>482.47</v>
      </c>
      <c r="F177">
        <v>0.15</v>
      </c>
      <c r="G177">
        <v>2718.12</v>
      </c>
      <c r="H177" s="1">
        <v>46020.742997685185</v>
      </c>
      <c r="I177">
        <v>32</v>
      </c>
      <c r="J177">
        <v>1035</v>
      </c>
      <c r="K177">
        <v>3</v>
      </c>
      <c r="L177">
        <v>1</v>
      </c>
      <c r="M177">
        <v>1</v>
      </c>
    </row>
    <row r="178" spans="1:13" x14ac:dyDescent="0.3">
      <c r="A178" t="s">
        <v>763</v>
      </c>
      <c r="B178" t="s">
        <v>518</v>
      </c>
      <c r="C178">
        <v>10</v>
      </c>
      <c r="D178">
        <v>886.92</v>
      </c>
      <c r="E178">
        <v>558.76</v>
      </c>
      <c r="F178">
        <v>0.05</v>
      </c>
      <c r="G178">
        <v>8869.2000000000007</v>
      </c>
      <c r="H178" s="1">
        <v>45749.733495370368</v>
      </c>
      <c r="I178">
        <v>14</v>
      </c>
      <c r="J178">
        <v>1004</v>
      </c>
      <c r="K178">
        <v>13</v>
      </c>
      <c r="L178">
        <v>4</v>
      </c>
      <c r="M178">
        <v>8</v>
      </c>
    </row>
    <row r="179" spans="1:13" x14ac:dyDescent="0.3">
      <c r="A179" t="s">
        <v>764</v>
      </c>
      <c r="B179" t="s">
        <v>556</v>
      </c>
      <c r="C179">
        <v>7</v>
      </c>
      <c r="D179">
        <v>880.52</v>
      </c>
      <c r="E179">
        <v>589.95000000000005</v>
      </c>
      <c r="F179">
        <v>0.1</v>
      </c>
      <c r="G179">
        <v>6163.64</v>
      </c>
      <c r="H179" s="1">
        <v>46221.494895833333</v>
      </c>
      <c r="I179">
        <v>43</v>
      </c>
      <c r="J179">
        <v>1029</v>
      </c>
      <c r="K179">
        <v>13</v>
      </c>
      <c r="L179">
        <v>4</v>
      </c>
      <c r="M179">
        <v>8</v>
      </c>
    </row>
    <row r="180" spans="1:13" x14ac:dyDescent="0.3">
      <c r="A180" t="s">
        <v>765</v>
      </c>
      <c r="B180" t="s">
        <v>551</v>
      </c>
      <c r="C180">
        <v>4</v>
      </c>
      <c r="D180">
        <v>694.96</v>
      </c>
      <c r="E180">
        <v>382.23</v>
      </c>
      <c r="F180">
        <v>0.15</v>
      </c>
      <c r="G180">
        <v>2779.84</v>
      </c>
      <c r="H180" s="1">
        <v>46148.643622685187</v>
      </c>
      <c r="I180">
        <v>2</v>
      </c>
      <c r="J180">
        <v>1046</v>
      </c>
      <c r="K180">
        <v>9</v>
      </c>
      <c r="L180">
        <v>5</v>
      </c>
      <c r="M180">
        <v>17</v>
      </c>
    </row>
    <row r="181" spans="1:13" x14ac:dyDescent="0.3">
      <c r="A181" t="s">
        <v>766</v>
      </c>
      <c r="B181" t="s">
        <v>499</v>
      </c>
      <c r="C181">
        <v>7</v>
      </c>
      <c r="D181">
        <v>798.62</v>
      </c>
      <c r="E181">
        <v>535.08000000000004</v>
      </c>
      <c r="F181">
        <v>0.05</v>
      </c>
      <c r="G181">
        <v>5590.34</v>
      </c>
      <c r="H181" s="1">
        <v>45739.529374999998</v>
      </c>
      <c r="I181">
        <v>12</v>
      </c>
      <c r="J181">
        <v>1007</v>
      </c>
      <c r="K181">
        <v>3</v>
      </c>
      <c r="L181">
        <v>1</v>
      </c>
      <c r="M181">
        <v>1</v>
      </c>
    </row>
    <row r="182" spans="1:13" x14ac:dyDescent="0.3">
      <c r="A182" t="s">
        <v>767</v>
      </c>
      <c r="B182" t="s">
        <v>498</v>
      </c>
      <c r="C182">
        <v>3</v>
      </c>
      <c r="D182">
        <v>837.09</v>
      </c>
      <c r="E182">
        <v>594.33000000000004</v>
      </c>
      <c r="F182">
        <v>0.1</v>
      </c>
      <c r="G182">
        <v>2511.27</v>
      </c>
      <c r="H182" s="1">
        <v>45753.653587962966</v>
      </c>
      <c r="I182">
        <v>46</v>
      </c>
      <c r="J182">
        <v>1035</v>
      </c>
      <c r="K182">
        <v>9</v>
      </c>
      <c r="L182">
        <v>13</v>
      </c>
      <c r="M182">
        <v>9</v>
      </c>
    </row>
    <row r="183" spans="1:13" x14ac:dyDescent="0.3">
      <c r="A183" t="s">
        <v>768</v>
      </c>
      <c r="B183" t="s">
        <v>543</v>
      </c>
      <c r="C183">
        <v>6</v>
      </c>
      <c r="D183">
        <v>823.13</v>
      </c>
      <c r="E183">
        <v>485.65</v>
      </c>
      <c r="F183">
        <v>0.15</v>
      </c>
      <c r="G183">
        <v>4938.78</v>
      </c>
      <c r="H183" s="1">
        <v>46126.304305555554</v>
      </c>
      <c r="I183">
        <v>21</v>
      </c>
      <c r="J183">
        <v>1005</v>
      </c>
      <c r="K183">
        <v>7</v>
      </c>
      <c r="L183">
        <v>6</v>
      </c>
      <c r="M183">
        <v>6</v>
      </c>
    </row>
    <row r="184" spans="1:13" x14ac:dyDescent="0.3">
      <c r="A184" t="s">
        <v>769</v>
      </c>
      <c r="B184" t="s">
        <v>566</v>
      </c>
      <c r="C184">
        <v>6</v>
      </c>
      <c r="D184">
        <v>355.52</v>
      </c>
      <c r="E184">
        <v>252.42</v>
      </c>
      <c r="F184">
        <v>0.05</v>
      </c>
      <c r="G184">
        <v>2133.12</v>
      </c>
      <c r="H184" s="1">
        <v>46123.776655092595</v>
      </c>
      <c r="I184">
        <v>29</v>
      </c>
      <c r="J184">
        <v>1010</v>
      </c>
      <c r="K184">
        <v>10</v>
      </c>
      <c r="L184">
        <v>14</v>
      </c>
      <c r="M184">
        <v>18</v>
      </c>
    </row>
    <row r="185" spans="1:13" x14ac:dyDescent="0.3">
      <c r="A185" t="s">
        <v>770</v>
      </c>
      <c r="B185" t="s">
        <v>571</v>
      </c>
      <c r="C185">
        <v>5</v>
      </c>
      <c r="D185">
        <v>234.4</v>
      </c>
      <c r="E185">
        <v>128.91999999999999</v>
      </c>
      <c r="F185">
        <v>0.1</v>
      </c>
      <c r="G185">
        <v>1172</v>
      </c>
      <c r="H185" s="1">
        <v>46105.373773148145</v>
      </c>
      <c r="I185">
        <v>49</v>
      </c>
      <c r="J185">
        <v>1054</v>
      </c>
      <c r="K185">
        <v>2</v>
      </c>
      <c r="L185">
        <v>2</v>
      </c>
      <c r="M185">
        <v>10</v>
      </c>
    </row>
    <row r="186" spans="1:13" x14ac:dyDescent="0.3">
      <c r="A186" t="s">
        <v>771</v>
      </c>
      <c r="B186" t="s">
        <v>550</v>
      </c>
      <c r="C186">
        <v>3</v>
      </c>
      <c r="D186">
        <v>105.46</v>
      </c>
      <c r="E186">
        <v>66.44</v>
      </c>
      <c r="F186">
        <v>0.15</v>
      </c>
      <c r="G186">
        <v>316.38</v>
      </c>
      <c r="H186" s="1">
        <v>46114.443958333337</v>
      </c>
      <c r="I186">
        <v>8</v>
      </c>
      <c r="J186">
        <v>1046</v>
      </c>
      <c r="K186">
        <v>10</v>
      </c>
      <c r="L186">
        <v>10</v>
      </c>
      <c r="M186">
        <v>2</v>
      </c>
    </row>
    <row r="187" spans="1:13" x14ac:dyDescent="0.3">
      <c r="A187" t="s">
        <v>772</v>
      </c>
      <c r="B187" t="s">
        <v>534</v>
      </c>
      <c r="C187">
        <v>7</v>
      </c>
      <c r="D187">
        <v>274.75</v>
      </c>
      <c r="E187">
        <v>151.11000000000001</v>
      </c>
      <c r="F187">
        <v>0.05</v>
      </c>
      <c r="G187">
        <v>1923.25</v>
      </c>
      <c r="H187" s="1">
        <v>45821.571898148148</v>
      </c>
      <c r="I187">
        <v>33</v>
      </c>
      <c r="J187">
        <v>1020</v>
      </c>
      <c r="K187">
        <v>12</v>
      </c>
      <c r="L187">
        <v>20</v>
      </c>
      <c r="M187">
        <v>12</v>
      </c>
    </row>
    <row r="188" spans="1:13" x14ac:dyDescent="0.3">
      <c r="A188" t="s">
        <v>773</v>
      </c>
      <c r="B188" t="s">
        <v>527</v>
      </c>
      <c r="C188">
        <v>1</v>
      </c>
      <c r="D188">
        <v>319.39999999999998</v>
      </c>
      <c r="E188">
        <v>188.45</v>
      </c>
      <c r="F188">
        <v>0.1</v>
      </c>
      <c r="G188">
        <v>319.39999999999998</v>
      </c>
      <c r="H188" s="1">
        <v>45759.778715277775</v>
      </c>
      <c r="I188">
        <v>9</v>
      </c>
      <c r="J188">
        <v>1021</v>
      </c>
      <c r="K188">
        <v>1</v>
      </c>
      <c r="L188">
        <v>16</v>
      </c>
      <c r="M188">
        <v>16</v>
      </c>
    </row>
    <row r="189" spans="1:13" x14ac:dyDescent="0.3">
      <c r="A189" t="s">
        <v>774</v>
      </c>
      <c r="B189" t="s">
        <v>534</v>
      </c>
      <c r="C189">
        <v>2</v>
      </c>
      <c r="D189">
        <v>568.39</v>
      </c>
      <c r="E189">
        <v>380.82</v>
      </c>
      <c r="F189">
        <v>0.15</v>
      </c>
      <c r="G189">
        <v>1136.78</v>
      </c>
      <c r="H189" s="1">
        <v>45821.571898148148</v>
      </c>
      <c r="I189">
        <v>36</v>
      </c>
      <c r="J189">
        <v>1020</v>
      </c>
      <c r="K189">
        <v>12</v>
      </c>
      <c r="L189">
        <v>20</v>
      </c>
      <c r="M189">
        <v>12</v>
      </c>
    </row>
    <row r="190" spans="1:13" x14ac:dyDescent="0.3">
      <c r="A190" t="s">
        <v>775</v>
      </c>
      <c r="B190" t="s">
        <v>539</v>
      </c>
      <c r="C190">
        <v>7</v>
      </c>
      <c r="D190">
        <v>98.48</v>
      </c>
      <c r="E190">
        <v>58.1</v>
      </c>
      <c r="F190">
        <v>0.05</v>
      </c>
      <c r="G190">
        <v>689.36</v>
      </c>
      <c r="H190" s="1">
        <v>46141.786898148152</v>
      </c>
      <c r="I190">
        <v>56</v>
      </c>
      <c r="J190">
        <v>1059</v>
      </c>
      <c r="K190">
        <v>5</v>
      </c>
      <c r="L190">
        <v>3</v>
      </c>
      <c r="M190">
        <v>19</v>
      </c>
    </row>
    <row r="191" spans="1:13" x14ac:dyDescent="0.3">
      <c r="A191" t="s">
        <v>776</v>
      </c>
      <c r="B191" t="s">
        <v>524</v>
      </c>
      <c r="C191">
        <v>5</v>
      </c>
      <c r="D191">
        <v>220.9</v>
      </c>
      <c r="E191">
        <v>139.16999999999999</v>
      </c>
      <c r="F191">
        <v>0.1</v>
      </c>
      <c r="G191">
        <v>1104.5</v>
      </c>
      <c r="H191" s="1">
        <v>45993.680671296293</v>
      </c>
      <c r="I191">
        <v>1</v>
      </c>
      <c r="J191">
        <v>1009</v>
      </c>
      <c r="K191">
        <v>3</v>
      </c>
      <c r="L191">
        <v>5</v>
      </c>
      <c r="M191">
        <v>17</v>
      </c>
    </row>
    <row r="192" spans="1:13" x14ac:dyDescent="0.3">
      <c r="A192" t="s">
        <v>777</v>
      </c>
      <c r="B192" t="s">
        <v>502</v>
      </c>
      <c r="C192">
        <v>2</v>
      </c>
      <c r="D192">
        <v>505.22</v>
      </c>
      <c r="E192">
        <v>358.71</v>
      </c>
      <c r="F192">
        <v>0.15</v>
      </c>
      <c r="G192">
        <v>1010.44</v>
      </c>
      <c r="H192" s="1">
        <v>45782.451481481483</v>
      </c>
      <c r="I192">
        <v>50</v>
      </c>
      <c r="J192">
        <v>1015</v>
      </c>
      <c r="K192">
        <v>5</v>
      </c>
      <c r="L192">
        <v>11</v>
      </c>
      <c r="M192">
        <v>11</v>
      </c>
    </row>
    <row r="193" spans="1:13" x14ac:dyDescent="0.3">
      <c r="A193" t="s">
        <v>778</v>
      </c>
      <c r="B193" t="s">
        <v>495</v>
      </c>
      <c r="C193">
        <v>9</v>
      </c>
      <c r="D193">
        <v>191.04</v>
      </c>
      <c r="E193">
        <v>120.36</v>
      </c>
      <c r="F193">
        <v>0.05</v>
      </c>
      <c r="G193">
        <v>1719.36</v>
      </c>
      <c r="H193" s="1">
        <v>45966.335590277777</v>
      </c>
      <c r="I193">
        <v>37</v>
      </c>
      <c r="J193">
        <v>1016</v>
      </c>
      <c r="K193">
        <v>3</v>
      </c>
      <c r="L193">
        <v>17</v>
      </c>
      <c r="M193">
        <v>5</v>
      </c>
    </row>
    <row r="194" spans="1:13" x14ac:dyDescent="0.3">
      <c r="A194" t="s">
        <v>779</v>
      </c>
      <c r="B194" t="s">
        <v>573</v>
      </c>
      <c r="C194">
        <v>7</v>
      </c>
      <c r="D194">
        <v>76.56</v>
      </c>
      <c r="E194">
        <v>51.3</v>
      </c>
      <c r="F194">
        <v>0.1</v>
      </c>
      <c r="G194">
        <v>535.91999999999996</v>
      </c>
      <c r="H194" s="1">
        <v>46166.771793981483</v>
      </c>
      <c r="I194">
        <v>13</v>
      </c>
      <c r="J194">
        <v>1012</v>
      </c>
      <c r="K194">
        <v>14</v>
      </c>
      <c r="L194">
        <v>7</v>
      </c>
      <c r="M194">
        <v>15</v>
      </c>
    </row>
    <row r="195" spans="1:13" x14ac:dyDescent="0.3">
      <c r="A195" t="s">
        <v>780</v>
      </c>
      <c r="B195" t="s">
        <v>553</v>
      </c>
      <c r="C195">
        <v>5</v>
      </c>
      <c r="D195">
        <v>624.02</v>
      </c>
      <c r="E195">
        <v>343.21</v>
      </c>
      <c r="F195">
        <v>0.15</v>
      </c>
      <c r="G195">
        <v>3120.1</v>
      </c>
      <c r="H195" s="1">
        <v>46248.486956018518</v>
      </c>
      <c r="I195">
        <v>3</v>
      </c>
      <c r="J195">
        <v>1050</v>
      </c>
      <c r="K195">
        <v>5</v>
      </c>
      <c r="L195">
        <v>7</v>
      </c>
      <c r="M195">
        <v>15</v>
      </c>
    </row>
    <row r="196" spans="1:13" x14ac:dyDescent="0.3">
      <c r="A196" t="s">
        <v>781</v>
      </c>
      <c r="B196" t="s">
        <v>505</v>
      </c>
      <c r="C196">
        <v>7</v>
      </c>
      <c r="D196">
        <v>76.56</v>
      </c>
      <c r="E196">
        <v>51.3</v>
      </c>
      <c r="F196">
        <v>0.05</v>
      </c>
      <c r="G196">
        <v>535.91999999999996</v>
      </c>
      <c r="H196" s="1">
        <v>45866.526493055557</v>
      </c>
      <c r="I196">
        <v>13</v>
      </c>
      <c r="J196">
        <v>1030</v>
      </c>
      <c r="K196">
        <v>6</v>
      </c>
      <c r="L196">
        <v>8</v>
      </c>
      <c r="M196">
        <v>4</v>
      </c>
    </row>
    <row r="197" spans="1:13" x14ac:dyDescent="0.3">
      <c r="A197" t="s">
        <v>782</v>
      </c>
      <c r="B197" t="s">
        <v>564</v>
      </c>
      <c r="C197">
        <v>7</v>
      </c>
      <c r="D197">
        <v>624.02</v>
      </c>
      <c r="E197">
        <v>443.05</v>
      </c>
      <c r="F197">
        <v>0.1</v>
      </c>
      <c r="G197">
        <v>4368.1400000000003</v>
      </c>
      <c r="H197" s="1">
        <v>46073.564120370371</v>
      </c>
      <c r="I197">
        <v>3</v>
      </c>
      <c r="J197">
        <v>1058</v>
      </c>
      <c r="K197">
        <v>4</v>
      </c>
      <c r="L197">
        <v>19</v>
      </c>
      <c r="M197">
        <v>3</v>
      </c>
    </row>
    <row r="198" spans="1:13" x14ac:dyDescent="0.3">
      <c r="A198" t="s">
        <v>783</v>
      </c>
      <c r="B198" t="s">
        <v>552</v>
      </c>
      <c r="C198">
        <v>2</v>
      </c>
      <c r="D198">
        <v>641.44000000000005</v>
      </c>
      <c r="E198">
        <v>378.45</v>
      </c>
      <c r="F198">
        <v>0.15</v>
      </c>
      <c r="G198">
        <v>1282.8800000000001</v>
      </c>
      <c r="H198" s="1">
        <v>46037.649375000001</v>
      </c>
      <c r="I198">
        <v>51</v>
      </c>
      <c r="J198">
        <v>1049</v>
      </c>
      <c r="K198">
        <v>5</v>
      </c>
      <c r="L198">
        <v>15</v>
      </c>
      <c r="M198">
        <v>7</v>
      </c>
    </row>
    <row r="199" spans="1:13" x14ac:dyDescent="0.3">
      <c r="A199" t="s">
        <v>784</v>
      </c>
      <c r="B199" t="s">
        <v>504</v>
      </c>
      <c r="C199">
        <v>10</v>
      </c>
      <c r="D199">
        <v>545.07000000000005</v>
      </c>
      <c r="E199">
        <v>387</v>
      </c>
      <c r="F199">
        <v>0.05</v>
      </c>
      <c r="G199">
        <v>5450.7</v>
      </c>
      <c r="H199" s="1">
        <v>45742.768807870372</v>
      </c>
      <c r="I199">
        <v>39</v>
      </c>
      <c r="J199">
        <v>1052</v>
      </c>
      <c r="K199">
        <v>7</v>
      </c>
      <c r="L199">
        <v>14</v>
      </c>
      <c r="M199">
        <v>18</v>
      </c>
    </row>
    <row r="200" spans="1:13" x14ac:dyDescent="0.3">
      <c r="A200" t="s">
        <v>785</v>
      </c>
      <c r="B200" t="s">
        <v>561</v>
      </c>
      <c r="C200">
        <v>8</v>
      </c>
      <c r="D200">
        <v>351.41</v>
      </c>
      <c r="E200">
        <v>193.28</v>
      </c>
      <c r="F200">
        <v>0.1</v>
      </c>
      <c r="G200">
        <v>2811.28</v>
      </c>
      <c r="H200" s="1">
        <v>46081.531597222223</v>
      </c>
      <c r="I200">
        <v>15</v>
      </c>
      <c r="J200">
        <v>1007</v>
      </c>
      <c r="K200">
        <v>7</v>
      </c>
      <c r="L200">
        <v>10</v>
      </c>
      <c r="M200">
        <v>2</v>
      </c>
    </row>
    <row r="201" spans="1:13" x14ac:dyDescent="0.3">
      <c r="A201" t="s">
        <v>786</v>
      </c>
      <c r="B201" t="s">
        <v>570</v>
      </c>
      <c r="C201">
        <v>1</v>
      </c>
      <c r="D201">
        <v>727.47</v>
      </c>
      <c r="E201">
        <v>458.31</v>
      </c>
      <c r="F201">
        <v>0.15</v>
      </c>
      <c r="G201">
        <v>727.47</v>
      </c>
      <c r="H201" s="1">
        <v>46179.647048611114</v>
      </c>
      <c r="I201">
        <v>20</v>
      </c>
      <c r="J201">
        <v>1054</v>
      </c>
      <c r="K201">
        <v>6</v>
      </c>
      <c r="L201">
        <v>12</v>
      </c>
      <c r="M201">
        <v>20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64F47-DE5D-4235-8060-9EC25FE4B9AA}">
  <sheetPr codeName="Sheet14"/>
  <dimension ref="A1:B6"/>
  <sheetViews>
    <sheetView workbookViewId="0"/>
  </sheetViews>
  <sheetFormatPr defaultRowHeight="14.4" x14ac:dyDescent="0.3"/>
  <cols>
    <col min="1" max="1" width="20.5546875" bestFit="1" customWidth="1"/>
    <col min="2" max="2" width="12.6640625" bestFit="1" customWidth="1"/>
  </cols>
  <sheetData>
    <row r="1" spans="1:2" x14ac:dyDescent="0.3">
      <c r="A1" t="s">
        <v>787</v>
      </c>
      <c r="B1" t="s">
        <v>27</v>
      </c>
    </row>
    <row r="2" spans="1:2" x14ac:dyDescent="0.3">
      <c r="A2" t="s">
        <v>788</v>
      </c>
      <c r="B2" t="s">
        <v>74</v>
      </c>
    </row>
    <row r="3" spans="1:2" x14ac:dyDescent="0.3">
      <c r="A3" t="s">
        <v>789</v>
      </c>
      <c r="B3" t="s">
        <v>50</v>
      </c>
    </row>
    <row r="4" spans="1:2" x14ac:dyDescent="0.3">
      <c r="A4" t="s">
        <v>790</v>
      </c>
      <c r="B4" t="s">
        <v>62</v>
      </c>
    </row>
    <row r="5" spans="1:2" x14ac:dyDescent="0.3">
      <c r="A5" t="s">
        <v>791</v>
      </c>
      <c r="B5" t="s">
        <v>36</v>
      </c>
    </row>
    <row r="6" spans="1:2" x14ac:dyDescent="0.3">
      <c r="A6" t="s">
        <v>792</v>
      </c>
      <c r="B6" t="s">
        <v>98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89822-F4A2-40A6-A33C-4B2DC256B6BD}">
  <sheetPr codeName="Sheet15"/>
  <dimension ref="A1"/>
  <sheetViews>
    <sheetView workbookViewId="0"/>
  </sheetViews>
  <sheetFormatPr defaultRowHeight="14.4" x14ac:dyDescent="0.3"/>
  <cols>
    <col min="1" max="1" width="7.21875" bestFit="1" customWidth="1"/>
  </cols>
  <sheetData>
    <row r="1" spans="1:1" x14ac:dyDescent="0.3">
      <c r="A1" t="s">
        <v>793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1</vt:i4>
      </vt:variant>
    </vt:vector>
  </HeadingPairs>
  <TitlesOfParts>
    <vt:vector size="15" baseType="lpstr">
      <vt:lpstr>dim_campaign</vt:lpstr>
      <vt:lpstr>dim_customers</vt:lpstr>
      <vt:lpstr>dim_date</vt:lpstr>
      <vt:lpstr>dim_geo</vt:lpstr>
      <vt:lpstr>dim_order_flags</vt:lpstr>
      <vt:lpstr>dim_products</vt:lpstr>
      <vt:lpstr>facts_order_process</vt:lpstr>
      <vt:lpstr>facts_sales_target</vt:lpstr>
      <vt:lpstr>fact_campaign</vt:lpstr>
      <vt:lpstr>fact_inventory</vt:lpstr>
      <vt:lpstr>fact_promotion_coverage</vt:lpstr>
      <vt:lpstr>fact_sales</vt:lpstr>
      <vt:lpstr>security</vt:lpstr>
      <vt:lpstr>_measures</vt:lpstr>
      <vt:lpstr>_measures!ExternalData_1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Alok Shukla</dc:creator>
  <cp:lastModifiedBy>Alok Shukla</cp:lastModifiedBy>
  <dcterms:created xsi:type="dcterms:W3CDTF">2026-07-16T06:17:44Z</dcterms:created>
  <dcterms:modified xsi:type="dcterms:W3CDTF">2026-07-16T06:24:48Z</dcterms:modified>
</cp:coreProperties>
</file>